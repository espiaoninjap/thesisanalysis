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8_{E81E7EB8-93D4-43B7-8C12-B7D2902CA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roeconomics" sheetId="2" r:id="rId1"/>
    <sheet name="CLADHE_Graphs" sheetId="10" state="hidden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3" i="10" l="1"/>
  <c r="AA242" i="10"/>
  <c r="AA241" i="10"/>
  <c r="AA240" i="10"/>
  <c r="AA239" i="10"/>
  <c r="AA238" i="10"/>
  <c r="AA237" i="10"/>
  <c r="H182" i="10" s="1"/>
  <c r="AA236" i="10"/>
  <c r="AA235" i="10"/>
  <c r="AA234" i="10"/>
  <c r="H234" i="10"/>
  <c r="AA233" i="10"/>
  <c r="H233" i="10"/>
  <c r="AA232" i="10"/>
  <c r="H232" i="10"/>
  <c r="AA231" i="10"/>
  <c r="H231" i="10"/>
  <c r="AA230" i="10"/>
  <c r="H230" i="10"/>
  <c r="AA229" i="10"/>
  <c r="H229" i="10"/>
  <c r="AA228" i="10"/>
  <c r="H228" i="10"/>
  <c r="AA227" i="10"/>
  <c r="H227" i="10"/>
  <c r="AA226" i="10"/>
  <c r="H226" i="10"/>
  <c r="AA225" i="10"/>
  <c r="H181" i="10" s="1"/>
  <c r="H225" i="10"/>
  <c r="AA224" i="10"/>
  <c r="H224" i="10"/>
  <c r="AA223" i="10"/>
  <c r="H223" i="10"/>
  <c r="AA222" i="10"/>
  <c r="H222" i="10"/>
  <c r="AA221" i="10"/>
  <c r="H221" i="10"/>
  <c r="AA220" i="10"/>
  <c r="H220" i="10"/>
  <c r="AA219" i="10"/>
  <c r="H219" i="10"/>
  <c r="AA218" i="10"/>
  <c r="H218" i="10"/>
  <c r="AA217" i="10"/>
  <c r="H217" i="10"/>
  <c r="AA216" i="10"/>
  <c r="H216" i="10"/>
  <c r="AA215" i="10"/>
  <c r="H215" i="10"/>
  <c r="AA214" i="10"/>
  <c r="H180" i="10" s="1"/>
  <c r="H214" i="10"/>
  <c r="AA213" i="10"/>
  <c r="H213" i="10"/>
  <c r="AA212" i="10"/>
  <c r="H212" i="10"/>
  <c r="AA211" i="10"/>
  <c r="H211" i="10"/>
  <c r="AA210" i="10"/>
  <c r="H210" i="10"/>
  <c r="AA209" i="10"/>
  <c r="H209" i="10"/>
  <c r="AA208" i="10"/>
  <c r="H208" i="10"/>
  <c r="AA207" i="10"/>
  <c r="H207" i="10"/>
  <c r="AA206" i="10"/>
  <c r="H206" i="10"/>
  <c r="AA205" i="10"/>
  <c r="H205" i="10"/>
  <c r="AA204" i="10"/>
  <c r="H179" i="10" s="1"/>
  <c r="H204" i="10"/>
  <c r="AA203" i="10"/>
  <c r="H203" i="10"/>
  <c r="AA202" i="10"/>
  <c r="H202" i="10"/>
  <c r="AA201" i="10"/>
  <c r="H201" i="10"/>
  <c r="AA200" i="10"/>
  <c r="H200" i="10"/>
  <c r="AA199" i="10"/>
  <c r="H183" i="10" s="1"/>
  <c r="H199" i="10"/>
  <c r="AA198" i="10"/>
  <c r="H198" i="10"/>
  <c r="AA197" i="10"/>
  <c r="R197" i="10"/>
  <c r="Q199" i="10" s="1"/>
  <c r="H197" i="10"/>
  <c r="AA196" i="10"/>
  <c r="R196" i="10"/>
  <c r="H196" i="10"/>
  <c r="AA195" i="10"/>
  <c r="R195" i="10"/>
  <c r="H195" i="10"/>
  <c r="AA194" i="10"/>
  <c r="H194" i="10"/>
  <c r="H193" i="10"/>
  <c r="H192" i="10"/>
  <c r="H191" i="10"/>
  <c r="AD190" i="10"/>
  <c r="AA190" i="10"/>
  <c r="H190" i="10"/>
  <c r="AD189" i="10"/>
  <c r="G164" i="10" s="1"/>
  <c r="AA189" i="10"/>
  <c r="H189" i="10"/>
  <c r="H235" i="10" s="1"/>
  <c r="AD188" i="10"/>
  <c r="AA188" i="10"/>
  <c r="AD187" i="10"/>
  <c r="AA187" i="10"/>
  <c r="G182" i="10" s="1"/>
  <c r="AD186" i="10"/>
  <c r="AA186" i="10"/>
  <c r="AD185" i="10"/>
  <c r="AA185" i="10"/>
  <c r="AD184" i="10"/>
  <c r="AA184" i="10"/>
  <c r="AD183" i="10"/>
  <c r="AA183" i="10"/>
  <c r="AD182" i="10"/>
  <c r="AA182" i="10"/>
  <c r="AD181" i="10"/>
  <c r="AA181" i="10"/>
  <c r="AD180" i="10"/>
  <c r="AA180" i="10"/>
  <c r="G181" i="10" s="1"/>
  <c r="AD179" i="10"/>
  <c r="AA179" i="10"/>
  <c r="AD178" i="10"/>
  <c r="AA178" i="10"/>
  <c r="AD177" i="10"/>
  <c r="AA177" i="10"/>
  <c r="AD176" i="10"/>
  <c r="AA176" i="10"/>
  <c r="AD175" i="10"/>
  <c r="AA175" i="10"/>
  <c r="AD174" i="10"/>
  <c r="AA174" i="10"/>
  <c r="AD173" i="10"/>
  <c r="G162" i="10" s="1"/>
  <c r="AA173" i="10"/>
  <c r="G173" i="10"/>
  <c r="AD172" i="10"/>
  <c r="AA172" i="10"/>
  <c r="H172" i="10"/>
  <c r="H174" i="10" s="1"/>
  <c r="G172" i="10"/>
  <c r="AD171" i="10"/>
  <c r="AA171" i="10"/>
  <c r="M171" i="10"/>
  <c r="M172" i="10" s="1"/>
  <c r="J171" i="10"/>
  <c r="G171" i="10"/>
  <c r="AD170" i="10"/>
  <c r="AA170" i="10"/>
  <c r="G180" i="10" s="1"/>
  <c r="M170" i="10"/>
  <c r="J170" i="10"/>
  <c r="H170" i="10"/>
  <c r="G170" i="10"/>
  <c r="AD169" i="10"/>
  <c r="AA169" i="10"/>
  <c r="M169" i="10"/>
  <c r="J169" i="10"/>
  <c r="J174" i="10" s="1"/>
  <c r="H169" i="10"/>
  <c r="G169" i="10"/>
  <c r="G174" i="10" s="1"/>
  <c r="AD168" i="10"/>
  <c r="AA168" i="10"/>
  <c r="AD167" i="10"/>
  <c r="AA167" i="10"/>
  <c r="M167" i="10"/>
  <c r="M166" i="10" s="1"/>
  <c r="M165" i="10" s="1"/>
  <c r="M164" i="10" s="1"/>
  <c r="M163" i="10" s="1"/>
  <c r="AD166" i="10"/>
  <c r="AA166" i="10"/>
  <c r="AD165" i="10"/>
  <c r="AA165" i="10"/>
  <c r="AD164" i="10"/>
  <c r="AA164" i="10"/>
  <c r="AD163" i="10"/>
  <c r="AA163" i="10"/>
  <c r="G163" i="10"/>
  <c r="AD162" i="10"/>
  <c r="AA162" i="10"/>
  <c r="AD161" i="10"/>
  <c r="AA161" i="10"/>
  <c r="G179" i="10" s="1"/>
  <c r="G161" i="10"/>
  <c r="AD160" i="10"/>
  <c r="AA160" i="10"/>
  <c r="AD159" i="10"/>
  <c r="AA159" i="10"/>
  <c r="AD158" i="10"/>
  <c r="AA158" i="10"/>
  <c r="AD157" i="10"/>
  <c r="AA157" i="10"/>
  <c r="AD156" i="10"/>
  <c r="AA156" i="10"/>
  <c r="J156" i="10"/>
  <c r="G156" i="10"/>
  <c r="I156" i="10" s="1"/>
  <c r="AD155" i="10"/>
  <c r="AA155" i="10"/>
  <c r="K155" i="10"/>
  <c r="G155" i="10"/>
  <c r="I155" i="10" s="1"/>
  <c r="AD154" i="10"/>
  <c r="AA154" i="10"/>
  <c r="K154" i="10"/>
  <c r="AD153" i="10"/>
  <c r="AA153" i="10"/>
  <c r="AD152" i="10"/>
  <c r="AA152" i="10"/>
  <c r="K152" i="10"/>
  <c r="AD151" i="10"/>
  <c r="G160" i="10" s="1"/>
  <c r="G165" i="10" s="1"/>
  <c r="AA151" i="10"/>
  <c r="AD150" i="10"/>
  <c r="AA150" i="10"/>
  <c r="G178" i="10" s="1"/>
  <c r="G183" i="10" s="1"/>
  <c r="K150" i="10"/>
  <c r="I146" i="10"/>
  <c r="H146" i="10"/>
  <c r="G146" i="10"/>
  <c r="H145" i="10"/>
  <c r="I145" i="10" s="1"/>
  <c r="G145" i="10"/>
  <c r="X144" i="10"/>
  <c r="H144" i="10"/>
  <c r="G144" i="10"/>
  <c r="I144" i="10" s="1"/>
  <c r="X143" i="10"/>
  <c r="H143" i="10"/>
  <c r="G143" i="10"/>
  <c r="I143" i="10" s="1"/>
  <c r="AA142" i="10"/>
  <c r="AB142" i="10" s="1"/>
  <c r="X142" i="10"/>
  <c r="H142" i="10"/>
  <c r="I142" i="10" s="1"/>
  <c r="G142" i="10"/>
  <c r="X141" i="10"/>
  <c r="H141" i="10"/>
  <c r="I141" i="10" s="1"/>
  <c r="G141" i="10"/>
  <c r="AA140" i="10"/>
  <c r="AB140" i="10" s="1"/>
  <c r="J180" i="10" s="1"/>
  <c r="X140" i="10"/>
  <c r="H140" i="10"/>
  <c r="I140" i="10" s="1"/>
  <c r="G140" i="10"/>
  <c r="X139" i="10"/>
  <c r="I139" i="10"/>
  <c r="H139" i="10"/>
  <c r="G139" i="10"/>
  <c r="X138" i="10"/>
  <c r="I138" i="10"/>
  <c r="H138" i="10"/>
  <c r="G138" i="10"/>
  <c r="X137" i="10"/>
  <c r="I137" i="10"/>
  <c r="H137" i="10"/>
  <c r="G137" i="10"/>
  <c r="X136" i="10"/>
  <c r="H136" i="10"/>
  <c r="I136" i="10" s="1"/>
  <c r="G136" i="10"/>
  <c r="X135" i="10"/>
  <c r="I162" i="10" s="1"/>
  <c r="H135" i="10"/>
  <c r="I135" i="10" s="1"/>
  <c r="G135" i="10"/>
  <c r="X134" i="10"/>
  <c r="H134" i="10"/>
  <c r="I134" i="10" s="1"/>
  <c r="G134" i="10"/>
  <c r="I170" i="10" s="1"/>
  <c r="AB133" i="10"/>
  <c r="AA133" i="10"/>
  <c r="X133" i="10"/>
  <c r="J133" i="10"/>
  <c r="I133" i="10"/>
  <c r="H133" i="10"/>
  <c r="G133" i="10"/>
  <c r="X132" i="10"/>
  <c r="J132" i="10"/>
  <c r="I132" i="10"/>
  <c r="H132" i="10"/>
  <c r="G132" i="10"/>
  <c r="X131" i="10"/>
  <c r="J131" i="10"/>
  <c r="I131" i="10"/>
  <c r="H131" i="10"/>
  <c r="G131" i="10"/>
  <c r="X130" i="10"/>
  <c r="J130" i="10"/>
  <c r="H130" i="10"/>
  <c r="I130" i="10" s="1"/>
  <c r="G130" i="10"/>
  <c r="X129" i="10"/>
  <c r="H129" i="10"/>
  <c r="X128" i="10"/>
  <c r="J128" i="10"/>
  <c r="H128" i="10"/>
  <c r="G128" i="10"/>
  <c r="AB127" i="10"/>
  <c r="J179" i="10" s="1"/>
  <c r="AA127" i="10"/>
  <c r="X127" i="10"/>
  <c r="J127" i="10"/>
  <c r="I127" i="10"/>
  <c r="H127" i="10"/>
  <c r="G127" i="10"/>
  <c r="X126" i="10"/>
  <c r="J126" i="10"/>
  <c r="I126" i="10"/>
  <c r="H126" i="10"/>
  <c r="G126" i="10"/>
  <c r="X125" i="10"/>
  <c r="I161" i="10" s="1"/>
  <c r="J125" i="10"/>
  <c r="I125" i="10"/>
  <c r="H125" i="10"/>
  <c r="G125" i="10"/>
  <c r="X124" i="10"/>
  <c r="H124" i="10"/>
  <c r="I124" i="10" s="1"/>
  <c r="G124" i="10"/>
  <c r="X123" i="10"/>
  <c r="X122" i="10"/>
  <c r="AB121" i="10"/>
  <c r="AA121" i="10"/>
  <c r="X121" i="10"/>
  <c r="X120" i="10"/>
  <c r="AA119" i="10"/>
  <c r="AB119" i="10" s="1"/>
  <c r="X119" i="10"/>
  <c r="G119" i="10"/>
  <c r="X118" i="10"/>
  <c r="G118" i="10"/>
  <c r="X117" i="10"/>
  <c r="G117" i="10"/>
  <c r="AA116" i="10"/>
  <c r="AB116" i="10" s="1"/>
  <c r="X116" i="10"/>
  <c r="J116" i="10"/>
  <c r="I129" i="10" s="1"/>
  <c r="I116" i="10"/>
  <c r="J129" i="10" s="1"/>
  <c r="H116" i="10"/>
  <c r="G129" i="10" s="1"/>
  <c r="G116" i="10"/>
  <c r="X115" i="10"/>
  <c r="I160" i="10" s="1"/>
  <c r="H115" i="10"/>
  <c r="I128" i="10" s="1"/>
  <c r="G115" i="10"/>
  <c r="X114" i="10"/>
  <c r="G114" i="10"/>
  <c r="P113" i="10"/>
  <c r="Q113" i="10" s="1"/>
  <c r="J113" i="10"/>
  <c r="K113" i="10" s="1"/>
  <c r="H113" i="10"/>
  <c r="G113" i="10"/>
  <c r="P112" i="10"/>
  <c r="Q112" i="10" s="1"/>
  <c r="J112" i="10"/>
  <c r="G112" i="10"/>
  <c r="P111" i="10"/>
  <c r="Q111" i="10" s="1"/>
  <c r="K111" i="10"/>
  <c r="J111" i="10"/>
  <c r="L111" i="10" s="1"/>
  <c r="M111" i="10" s="1"/>
  <c r="G111" i="10"/>
  <c r="P110" i="10"/>
  <c r="Q110" i="10" s="1"/>
  <c r="K110" i="10"/>
  <c r="J110" i="10"/>
  <c r="H111" i="10" s="1"/>
  <c r="G110" i="10"/>
  <c r="P109" i="10"/>
  <c r="Q109" i="10" s="1"/>
  <c r="K109" i="10"/>
  <c r="J109" i="10"/>
  <c r="J153" i="10" s="1"/>
  <c r="H109" i="10"/>
  <c r="G109" i="10"/>
  <c r="F109" i="10"/>
  <c r="K107" i="10" s="1"/>
  <c r="P108" i="10"/>
  <c r="Q108" i="10" s="1"/>
  <c r="K108" i="10"/>
  <c r="L108" i="10" s="1"/>
  <c r="M108" i="10" s="1"/>
  <c r="J108" i="10"/>
  <c r="G152" i="10" s="1"/>
  <c r="F108" i="10"/>
  <c r="K106" i="10" s="1"/>
  <c r="P107" i="10"/>
  <c r="Q107" i="10" s="1"/>
  <c r="K89" i="10" s="1"/>
  <c r="J107" i="10"/>
  <c r="F107" i="10"/>
  <c r="K105" i="10" s="1"/>
  <c r="P106" i="10"/>
  <c r="Q106" i="10" s="1"/>
  <c r="K88" i="10" s="1"/>
  <c r="F106" i="10"/>
  <c r="K104" i="10" s="1"/>
  <c r="P105" i="10"/>
  <c r="Q105" i="10" s="1"/>
  <c r="K87" i="10" s="1"/>
  <c r="F105" i="10"/>
  <c r="G105" i="10" s="1"/>
  <c r="Q104" i="10"/>
  <c r="K86" i="10" s="1"/>
  <c r="P104" i="10"/>
  <c r="J86" i="10" s="1"/>
  <c r="F104" i="10"/>
  <c r="G104" i="10" s="1"/>
  <c r="P103" i="10"/>
  <c r="Q103" i="10" s="1"/>
  <c r="K85" i="10" s="1"/>
  <c r="L85" i="10" s="1"/>
  <c r="M85" i="10" s="1"/>
  <c r="K103" i="10"/>
  <c r="F103" i="10"/>
  <c r="K101" i="10" s="1"/>
  <c r="P102" i="10"/>
  <c r="Q102" i="10" s="1"/>
  <c r="K84" i="10" s="1"/>
  <c r="K102" i="10"/>
  <c r="F102" i="10"/>
  <c r="P101" i="10"/>
  <c r="Q101" i="10" s="1"/>
  <c r="K83" i="10" s="1"/>
  <c r="J101" i="10"/>
  <c r="L101" i="10" s="1"/>
  <c r="M101" i="10" s="1"/>
  <c r="F101" i="10"/>
  <c r="Q100" i="10"/>
  <c r="P100" i="10"/>
  <c r="F100" i="10"/>
  <c r="G100" i="10" s="1"/>
  <c r="P99" i="10"/>
  <c r="J81" i="10" s="1"/>
  <c r="K99" i="10"/>
  <c r="F99" i="10"/>
  <c r="K97" i="10" s="1"/>
  <c r="Q98" i="10"/>
  <c r="P98" i="10"/>
  <c r="K98" i="10"/>
  <c r="F98" i="10"/>
  <c r="K96" i="10" s="1"/>
  <c r="P97" i="10"/>
  <c r="Q97" i="10" s="1"/>
  <c r="K79" i="10" s="1"/>
  <c r="J97" i="10"/>
  <c r="L97" i="10" s="1"/>
  <c r="M97" i="10" s="1"/>
  <c r="F97" i="10"/>
  <c r="K95" i="10" s="1"/>
  <c r="Q96" i="10"/>
  <c r="P96" i="10"/>
  <c r="F96" i="10"/>
  <c r="K94" i="10" s="1"/>
  <c r="J95" i="10"/>
  <c r="L95" i="10" s="1"/>
  <c r="M95" i="10" s="1"/>
  <c r="F95" i="10"/>
  <c r="G148" i="10" s="1"/>
  <c r="F94" i="10"/>
  <c r="G94" i="10" s="1"/>
  <c r="L93" i="10"/>
  <c r="M93" i="10" s="1"/>
  <c r="K93" i="10"/>
  <c r="J93" i="10"/>
  <c r="J148" i="10" s="1"/>
  <c r="G93" i="10"/>
  <c r="F93" i="10"/>
  <c r="K92" i="10"/>
  <c r="J92" i="10"/>
  <c r="J147" i="10" s="1"/>
  <c r="H92" i="10"/>
  <c r="F92" i="10"/>
  <c r="G92" i="10" s="1"/>
  <c r="X91" i="10"/>
  <c r="K91" i="10"/>
  <c r="J91" i="10"/>
  <c r="L91" i="10" s="1"/>
  <c r="M91" i="10" s="1"/>
  <c r="F91" i="10"/>
  <c r="G91" i="10" s="1"/>
  <c r="X90" i="10"/>
  <c r="F90" i="10"/>
  <c r="J90" i="10" s="1"/>
  <c r="X89" i="10"/>
  <c r="F89" i="10"/>
  <c r="J89" i="10" s="1"/>
  <c r="X88" i="10"/>
  <c r="F88" i="10"/>
  <c r="J88" i="10" s="1"/>
  <c r="X87" i="10"/>
  <c r="F87" i="10"/>
  <c r="J87" i="10" s="1"/>
  <c r="X86" i="10"/>
  <c r="X85" i="10"/>
  <c r="J85" i="10"/>
  <c r="J141" i="10" s="1"/>
  <c r="X84" i="10"/>
  <c r="J84" i="10"/>
  <c r="L84" i="10" s="1"/>
  <c r="M84" i="10" s="1"/>
  <c r="X83" i="10"/>
  <c r="K78" i="10" s="1"/>
  <c r="K82" i="10"/>
  <c r="J82" i="10"/>
  <c r="J138" i="10" s="1"/>
  <c r="K80" i="10"/>
  <c r="J80" i="10"/>
  <c r="Y78" i="10"/>
  <c r="M77" i="10"/>
  <c r="M76" i="10"/>
  <c r="Y75" i="10"/>
  <c r="M75" i="10"/>
  <c r="M74" i="10"/>
  <c r="M73" i="10"/>
  <c r="Y72" i="10"/>
  <c r="M72" i="10"/>
  <c r="Y71" i="10"/>
  <c r="U71" i="10"/>
  <c r="M71" i="10"/>
  <c r="I178" i="10" s="1"/>
  <c r="Y70" i="10"/>
  <c r="Y69" i="10"/>
  <c r="Y68" i="10"/>
  <c r="Y67" i="10"/>
  <c r="Y66" i="10"/>
  <c r="Y65" i="10"/>
  <c r="Y64" i="10"/>
  <c r="Y63" i="10"/>
  <c r="Y62" i="10"/>
  <c r="Y61" i="10"/>
  <c r="Y60" i="10"/>
  <c r="I60" i="10"/>
  <c r="H60" i="10"/>
  <c r="G60" i="10"/>
  <c r="F60" i="10"/>
  <c r="Y59" i="10"/>
  <c r="I59" i="10"/>
  <c r="H59" i="10"/>
  <c r="G59" i="10"/>
  <c r="F59" i="10"/>
  <c r="Y58" i="10"/>
  <c r="Q58" i="10"/>
  <c r="I58" i="10"/>
  <c r="H58" i="10"/>
  <c r="G58" i="10"/>
  <c r="F58" i="10"/>
  <c r="Y57" i="10"/>
  <c r="I57" i="10"/>
  <c r="H57" i="10"/>
  <c r="G57" i="10"/>
  <c r="F57" i="10"/>
  <c r="Y56" i="10"/>
  <c r="I56" i="10"/>
  <c r="H56" i="10"/>
  <c r="G56" i="10"/>
  <c r="F56" i="10"/>
  <c r="Y55" i="10"/>
  <c r="I55" i="10"/>
  <c r="H55" i="10"/>
  <c r="G55" i="10"/>
  <c r="F55" i="10"/>
  <c r="Y54" i="10"/>
  <c r="I54" i="10"/>
  <c r="H54" i="10"/>
  <c r="G54" i="10"/>
  <c r="F54" i="10"/>
  <c r="Y53" i="10"/>
  <c r="I53" i="10"/>
  <c r="H53" i="10"/>
  <c r="G53" i="10"/>
  <c r="F53" i="10"/>
  <c r="Y52" i="10"/>
  <c r="I52" i="10"/>
  <c r="H52" i="10"/>
  <c r="G52" i="10"/>
  <c r="F52" i="10"/>
  <c r="Y51" i="10"/>
  <c r="I51" i="10"/>
  <c r="H51" i="10"/>
  <c r="G51" i="10"/>
  <c r="F51" i="10"/>
  <c r="Y50" i="10"/>
  <c r="I50" i="10"/>
  <c r="H50" i="10"/>
  <c r="G50" i="10"/>
  <c r="F50" i="10"/>
  <c r="Y49" i="10"/>
  <c r="I49" i="10"/>
  <c r="H49" i="10"/>
  <c r="G49" i="10"/>
  <c r="F49" i="10"/>
  <c r="Y48" i="10"/>
  <c r="I48" i="10"/>
  <c r="H48" i="10"/>
  <c r="G48" i="10"/>
  <c r="F48" i="10"/>
  <c r="Y47" i="10"/>
  <c r="I47" i="10"/>
  <c r="H47" i="10"/>
  <c r="G47" i="10"/>
  <c r="F47" i="10"/>
  <c r="I46" i="10"/>
  <c r="H46" i="10"/>
  <c r="G46" i="10"/>
  <c r="F46" i="10"/>
  <c r="I45" i="10"/>
  <c r="H45" i="10"/>
  <c r="G45" i="10"/>
  <c r="F45" i="10"/>
  <c r="I44" i="10"/>
  <c r="H44" i="10"/>
  <c r="G44" i="10"/>
  <c r="F44" i="10"/>
  <c r="I43" i="10"/>
  <c r="H43" i="10"/>
  <c r="G43" i="10"/>
  <c r="F43" i="10"/>
  <c r="D39" i="10"/>
  <c r="C39" i="10"/>
  <c r="D38" i="10"/>
  <c r="D37" i="10"/>
  <c r="D36" i="10"/>
  <c r="D35" i="10"/>
  <c r="D34" i="10"/>
  <c r="D33" i="10"/>
  <c r="AD4" i="10"/>
  <c r="AD5" i="10" s="1"/>
  <c r="AD6" i="10" s="1"/>
  <c r="AD7" i="10" s="1"/>
  <c r="AD8" i="10" s="1"/>
  <c r="AD9" i="10" s="1"/>
  <c r="AD10" i="10" s="1"/>
  <c r="AD11" i="10" s="1"/>
  <c r="AD12" i="10" s="1"/>
  <c r="AD13" i="10" s="1"/>
  <c r="AD14" i="10" s="1"/>
  <c r="AD15" i="10" s="1"/>
  <c r="AD16" i="10" s="1"/>
  <c r="AD17" i="10" s="1"/>
  <c r="AD18" i="10" s="1"/>
  <c r="AD19" i="10" s="1"/>
  <c r="AD20" i="10" s="1"/>
  <c r="AD21" i="10" s="1"/>
  <c r="AD22" i="10" s="1"/>
  <c r="AD23" i="10" s="1"/>
  <c r="AD24" i="10" s="1"/>
  <c r="AD25" i="10" s="1"/>
  <c r="AD26" i="10" s="1"/>
  <c r="AD27" i="10" s="1"/>
  <c r="AD28" i="10" s="1"/>
  <c r="AD29" i="10" s="1"/>
  <c r="AD30" i="10" s="1"/>
  <c r="AD31" i="10" s="1"/>
  <c r="AD32" i="10" s="1"/>
  <c r="AD33" i="10" s="1"/>
  <c r="AD34" i="10" s="1"/>
  <c r="AD35" i="10" s="1"/>
  <c r="AD36" i="10" s="1"/>
  <c r="AD37" i="10" s="1"/>
  <c r="AD38" i="10" s="1"/>
  <c r="AD39" i="10" s="1"/>
  <c r="AD40" i="10" s="1"/>
  <c r="AD41" i="10" s="1"/>
  <c r="AD42" i="10" s="1"/>
  <c r="AD43" i="10" s="1"/>
  <c r="AD44" i="10" s="1"/>
  <c r="AD45" i="10" s="1"/>
  <c r="AD46" i="10" s="1"/>
  <c r="AD47" i="10" s="1"/>
  <c r="AD48" i="10" s="1"/>
  <c r="AD3" i="10"/>
  <c r="J145" i="10" l="1"/>
  <c r="L89" i="10"/>
  <c r="M89" i="10" s="1"/>
  <c r="H89" i="10"/>
  <c r="J137" i="10"/>
  <c r="M173" i="10"/>
  <c r="M174" i="10" s="1"/>
  <c r="M175" i="10" s="1"/>
  <c r="M176" i="10" s="1"/>
  <c r="M177" i="10" s="1"/>
  <c r="M178" i="10" s="1"/>
  <c r="M179" i="10" s="1"/>
  <c r="M180" i="10" s="1"/>
  <c r="M181" i="10" s="1"/>
  <c r="J136" i="10"/>
  <c r="J146" i="10"/>
  <c r="H90" i="10"/>
  <c r="I165" i="10"/>
  <c r="I152" i="10"/>
  <c r="I169" i="10"/>
  <c r="J178" i="10"/>
  <c r="J183" i="10" s="1"/>
  <c r="L87" i="10"/>
  <c r="M87" i="10" s="1"/>
  <c r="J143" i="10"/>
  <c r="M160" i="10"/>
  <c r="H160" i="10"/>
  <c r="H162" i="10"/>
  <c r="J144" i="10"/>
  <c r="L88" i="10"/>
  <c r="M88" i="10" s="1"/>
  <c r="H88" i="10"/>
  <c r="J142" i="10"/>
  <c r="L86" i="10"/>
  <c r="M86" i="10" s="1"/>
  <c r="K100" i="10"/>
  <c r="L107" i="10"/>
  <c r="M107" i="10" s="1"/>
  <c r="G153" i="10"/>
  <c r="I153" i="10" s="1"/>
  <c r="J78" i="10"/>
  <c r="G88" i="10"/>
  <c r="G90" i="10"/>
  <c r="L92" i="10"/>
  <c r="M92" i="10" s="1"/>
  <c r="J102" i="10"/>
  <c r="J140" i="10"/>
  <c r="G95" i="10"/>
  <c r="G97" i="10"/>
  <c r="L109" i="10"/>
  <c r="M109" i="10" s="1"/>
  <c r="J104" i="10"/>
  <c r="G106" i="10"/>
  <c r="G147" i="10"/>
  <c r="I171" i="10" s="1"/>
  <c r="H147" i="10"/>
  <c r="I147" i="10" s="1"/>
  <c r="J106" i="10"/>
  <c r="H107" i="10" s="1"/>
  <c r="G108" i="10"/>
  <c r="G151" i="10"/>
  <c r="I151" i="10" s="1"/>
  <c r="G154" i="10"/>
  <c r="I154" i="10" s="1"/>
  <c r="L82" i="10"/>
  <c r="M82" i="10" s="1"/>
  <c r="G99" i="10"/>
  <c r="H93" i="10"/>
  <c r="J79" i="10"/>
  <c r="J83" i="10"/>
  <c r="J99" i="10"/>
  <c r="G101" i="10"/>
  <c r="H108" i="10"/>
  <c r="G157" i="10"/>
  <c r="I157" i="10" s="1"/>
  <c r="H101" i="10"/>
  <c r="H110" i="10"/>
  <c r="J154" i="10"/>
  <c r="G103" i="10"/>
  <c r="H148" i="10"/>
  <c r="I148" i="10" s="1"/>
  <c r="J157" i="10"/>
  <c r="H178" i="10"/>
  <c r="G89" i="10"/>
  <c r="G96" i="10"/>
  <c r="J103" i="10"/>
  <c r="L110" i="10"/>
  <c r="M110" i="10" s="1"/>
  <c r="J96" i="10"/>
  <c r="G98" i="10"/>
  <c r="Q99" i="10"/>
  <c r="K81" i="10" s="1"/>
  <c r="L81" i="10" s="1"/>
  <c r="M81" i="10" s="1"/>
  <c r="J152" i="10"/>
  <c r="L80" i="10"/>
  <c r="M80" i="10" s="1"/>
  <c r="J105" i="10"/>
  <c r="G107" i="10"/>
  <c r="J94" i="10"/>
  <c r="H95" i="10" s="1"/>
  <c r="J98" i="10"/>
  <c r="J155" i="10"/>
  <c r="J100" i="10"/>
  <c r="G150" i="10" s="1"/>
  <c r="I150" i="10" s="1"/>
  <c r="G102" i="10"/>
  <c r="J139" i="10" l="1"/>
  <c r="L83" i="10"/>
  <c r="M83" i="10" s="1"/>
  <c r="H161" i="10"/>
  <c r="J134" i="10"/>
  <c r="L78" i="10"/>
  <c r="M78" i="10" s="1"/>
  <c r="L104" i="10"/>
  <c r="M104" i="10" s="1"/>
  <c r="H104" i="10"/>
  <c r="J135" i="10"/>
  <c r="L79" i="10"/>
  <c r="M79" i="10" s="1"/>
  <c r="I173" i="10"/>
  <c r="L96" i="10"/>
  <c r="M96" i="10" s="1"/>
  <c r="H96" i="10"/>
  <c r="J151" i="10"/>
  <c r="H163" i="10"/>
  <c r="H165" i="10" s="1"/>
  <c r="L103" i="10"/>
  <c r="M103" i="10" s="1"/>
  <c r="H103" i="10"/>
  <c r="H149" i="10"/>
  <c r="L99" i="10"/>
  <c r="M99" i="10" s="1"/>
  <c r="H99" i="10"/>
  <c r="L98" i="10"/>
  <c r="M98" i="10" s="1"/>
  <c r="H98" i="10"/>
  <c r="H97" i="10"/>
  <c r="L94" i="10"/>
  <c r="M94" i="10" s="1"/>
  <c r="I180" i="10" s="1"/>
  <c r="J149" i="10"/>
  <c r="H94" i="10"/>
  <c r="H114" i="10" s="1"/>
  <c r="G149" i="10"/>
  <c r="I172" i="10" s="1"/>
  <c r="I174" i="10" s="1"/>
  <c r="L105" i="10"/>
  <c r="M105" i="10" s="1"/>
  <c r="H105" i="10"/>
  <c r="L102" i="10"/>
  <c r="M102" i="10" s="1"/>
  <c r="H102" i="10"/>
  <c r="L106" i="10"/>
  <c r="M106" i="10" s="1"/>
  <c r="I182" i="10" s="1"/>
  <c r="H164" i="10"/>
  <c r="H106" i="10"/>
  <c r="H100" i="10"/>
  <c r="L100" i="10"/>
  <c r="M100" i="10" s="1"/>
  <c r="J150" i="10"/>
  <c r="I181" i="10" l="1"/>
  <c r="J158" i="10"/>
  <c r="I149" i="10"/>
  <c r="I179" i="10"/>
  <c r="I18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tc={70dd66f4-fcef-4925-8a2f-5157673f1edb}</author>
    <author>tc={8cf38371-65aa-4c15-bc5e-c29537676095}</author>
    <author>tc={5880f4e4-61a5-4981-a306-6b5c2de6311c}</author>
    <author>tc={9c8ba87d-3d92-41dc-888e-904bb4570d6b}</author>
    <author>tc={69fcf963-090c-49db-8f2d-830f0d64ffa8}</author>
    <author>tc={6bd2d3df-a77f-4702-a584-6a65a822daaf}</author>
  </authors>
  <commentList>
    <comment ref="A75" authorId="0" shapeId="0" xr:uid="{70DD66F4-FCEF-4925-8A2F-5157673F1E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Book says 2098 but I feel that's unlikely</t>
      </text>
    </comment>
    <comment ref="A121" authorId="1" shapeId="0" xr:uid="{8CF38371-65AA-4C15-BC5E-C295376760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Colle (1936) says 1551, seems more likely maybe</t>
      </text>
    </comment>
    <comment ref="A143" authorId="2" shapeId="0" xr:uid="{5880F4E4-61A5-4981-A306-6B5C2DE631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El Diario of 31/10/1911 (CJSG) gives the "official" gold as 1300, and "commercial" as 1115</t>
      </text>
    </comment>
    <comment ref="A179" authorId="3" shapeId="0" xr:uid="{9C8BA87D-3D92-41DC-888E-904BB4570D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CA_12_2_21 (Ynforme n. 1) says here the gold prize was already 3000 - the ynforme's transcript is available on my drive</t>
      </text>
    </comment>
    <comment ref="A182" authorId="4" shapeId="0" xr:uid="{69FCF963-090C-49DB-8F2D-830F0D64FF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CA_12_2_21 (Informe n. 2) says here the gold prize was 3800, and the official gold prize 2300 - the informe's transcript is available on my drive</t>
      </text>
    </comment>
    <comment ref="A205" authorId="5" shapeId="0" xr:uid="{6BD2D3DF-A77F-4702-A584-6A65A822DA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Colle (1936) says 3265; Díaz (1985) says 3200. This date is important because it was when the Oficina de Cambios was founded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tc={2bc01ad5-615c-4c6d-afed-4403fa3095e9}</author>
    <author>tc={8d7e637a-948a-4bfc-a0cb-d06ec70f517d}</author>
    <author>tc={e5adca86-3092-4c26-8e86-309b60297699}</author>
    <author>tc={1879666d-c4b5-4d80-b26d-d6bae5384c2b}</author>
    <author>tc={ca5f1be3-0d9e-4caf-af2b-0a3c53dd269d}</author>
    <author>tc={39ba869e-e978-4f48-a649-9255db7087ad}</author>
    <author>tc={0f3a0df5-2eda-461b-bca4-2a6ffd22bd62}</author>
    <author>tc={dc5c0e0a-3029-41e3-bb50-8ce9c991e951}</author>
    <author>tc={af03139d-ae57-4cf9-957e-059636f72754}</author>
    <author>tc={b29c70aa-5fca-4d57-a019-92442a4fcd70}</author>
  </authors>
  <commentList>
    <comment ref="K68" authorId="0" shapeId="0" xr:uid="{2BC01AD5-615C-4C6D-AFED-4403FA3095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Gastos listados como ordinários em 1881 (ou seja, o valor real provavelmente é superior); Warren afirma ser impossível chegar a um valor próximo ao real.</t>
      </text>
    </comment>
    <comment ref="K71" authorId="1" shapeId="0" xr:uid="{8D7E637A-948A-4BFC-A0CB-D06EC70F51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 aproximado; o déficit desse ano foi de aproximadamente 400.000 $f</t>
      </text>
    </comment>
    <comment ref="H160" authorId="2" shapeId="0" xr:uid="{E5ADCA86-3092-4C26-8E86-309B602976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Using the 1886 pop estimate and 2% p.y. growth</t>
      </text>
    </comment>
    <comment ref="H161" authorId="3" shapeId="0" xr:uid="{1879666D-C4B5-4D80-B26D-D6BAE5384C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Using our 1891 value and Ashwell's 1900 one</t>
      </text>
    </comment>
    <comment ref="H162" authorId="4" shapeId="0" xr:uid="{CA5F1BE3-0D9E-4CAF-AF2B-0A3C53DD26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650000</t>
      </text>
    </comment>
    <comment ref="H163" authorId="5" shapeId="0" xr:uid="{39BA869E-E978-4F48-A649-9255DB7087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650000</t>
      </text>
    </comment>
    <comment ref="AB190" authorId="6" shapeId="0" xr:uid="{0F3A0DF5-2EDA-461B-BCA4-2A6FFD22BD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p228</t>
      </text>
    </comment>
    <comment ref="AB201" authorId="7" shapeId="0" xr:uid="{DC5C0E0A-3029-41E3-BB50-8CE9C991E9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1888</t>
      </text>
    </comment>
    <comment ref="AB213" authorId="8" shapeId="0" xr:uid="{AF03139D-AE57-4CF9-957E-059636F727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1900</t>
      </text>
    </comment>
    <comment ref="AB233" authorId="9" shapeId="0" xr:uid="{B29C70AA-5FCA-4D57-A019-92442A4FCD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1920</t>
      </text>
    </comment>
  </commentList>
</comments>
</file>

<file path=xl/sharedStrings.xml><?xml version="1.0" encoding="utf-8"?>
<sst xmlns="http://schemas.openxmlformats.org/spreadsheetml/2006/main" count="1346" uniqueCount="249">
  <si>
    <t>Population</t>
  </si>
  <si>
    <t>Year</t>
  </si>
  <si>
    <t>Number</t>
  </si>
  <si>
    <t>Source</t>
  </si>
  <si>
    <t>Ashwell, 1989</t>
  </si>
  <si>
    <t>Miranda, 1979</t>
  </si>
  <si>
    <t>Memoria MH 1926</t>
  </si>
  <si>
    <t>Memoria DGE 1929</t>
  </si>
  <si>
    <t>AE 1942</t>
  </si>
  <si>
    <t>AE 1915</t>
  </si>
  <si>
    <t>AE 1943-44</t>
  </si>
  <si>
    <t>AE 1945</t>
  </si>
  <si>
    <t>AE 1946-47</t>
  </si>
  <si>
    <t>CICRED, 1974</t>
  </si>
  <si>
    <t>Immigrants</t>
  </si>
  <si>
    <t>-</t>
  </si>
  <si>
    <t>Paper money in circulation</t>
  </si>
  <si>
    <t>Average conversion rate of 100 $ o/s to $ c/l</t>
  </si>
  <si>
    <t>Month</t>
  </si>
  <si>
    <t>Amount (Pesos papel unless specified)</t>
  </si>
  <si>
    <t>Amount</t>
  </si>
  <si>
    <t>Unit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</si>
  <si>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</si>
  <si>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</si>
  <si>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</si>
  <si>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</si>
  <si>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</si>
  <si>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</si>
  <si>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</si>
  <si>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</si>
  <si>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</si>
  <si>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</si>
  <si>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</si>
  <si>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</si>
  <si>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Paoli, 1982</t>
  </si>
  <si>
    <t>Investments in Paraguay, 1954</t>
  </si>
  <si>
    <t>Ashwell, 1996</t>
  </si>
  <si>
    <t>Foreign debt ($ o/s)</t>
  </si>
  <si>
    <t>State income and expenditure - values in different currencies separate, as the government spent and levied funds in both gold and paper money</t>
  </si>
  <si>
    <t>Expenses (c/l)</t>
  </si>
  <si>
    <t>Expenses (o/s)</t>
  </si>
  <si>
    <t>Income (c/l)</t>
  </si>
  <si>
    <t>Income (o/s)</t>
  </si>
  <si>
    <t>Result (c/l)</t>
  </si>
  <si>
    <t>Result (o/s)</t>
  </si>
  <si>
    <t>Peso o/s</t>
  </si>
  <si>
    <t>Treuenfeld 1906</t>
  </si>
  <si>
    <t>President's speech (1908)</t>
  </si>
  <si>
    <t>HK 2011</t>
  </si>
  <si>
    <t>Pounds</t>
  </si>
  <si>
    <t>Paraguay econ. and comm. conds., 1925</t>
  </si>
  <si>
    <t>1924/25</t>
  </si>
  <si>
    <t>1925/26</t>
  </si>
  <si>
    <t>1926/27</t>
  </si>
  <si>
    <t>1929/30</t>
  </si>
  <si>
    <t>Public Accounts (in other currencies)</t>
  </si>
  <si>
    <t>Memoria DGE 1938</t>
  </si>
  <si>
    <t xml:space="preserve">Gvt. Revenue </t>
  </si>
  <si>
    <t>Gvt. Expenditure</t>
  </si>
  <si>
    <t>Balance</t>
  </si>
  <si>
    <t>Relative Balance</t>
  </si>
  <si>
    <t>Currency</t>
  </si>
  <si>
    <t>£</t>
  </si>
  <si>
    <t>Brittanica, 1911</t>
  </si>
  <si>
    <t>US$</t>
  </si>
  <si>
    <t>General Descriptive Data, 1909</t>
  </si>
  <si>
    <t>AE 1940-41</t>
  </si>
  <si>
    <t>Guarani</t>
  </si>
  <si>
    <t>G$</t>
  </si>
  <si>
    <t>Paraguay (1950)</t>
  </si>
  <si>
    <t>Tariff values</t>
  </si>
  <si>
    <t>Gold</t>
  </si>
  <si>
    <t>Paper</t>
  </si>
  <si>
    <t>Other</t>
  </si>
  <si>
    <t>Gold + Paper</t>
  </si>
  <si>
    <t>Warren, 1985</t>
  </si>
  <si>
    <t>Ashwell, 1989 (p. 313)</t>
  </si>
  <si>
    <t>El Comercio Exterior Paraguayo (1919)</t>
  </si>
  <si>
    <t>1923-24</t>
  </si>
  <si>
    <t>1924-25</t>
  </si>
  <si>
    <t>Colle, 1936</t>
  </si>
  <si>
    <t>Foreign Trade value per year</t>
  </si>
  <si>
    <t>Exports</t>
  </si>
  <si>
    <t>Value (thousands $ o/s)</t>
  </si>
  <si>
    <t>Argentina</t>
  </si>
  <si>
    <t>Uruguay</t>
  </si>
  <si>
    <t>Brazil</t>
  </si>
  <si>
    <t>Memoria DGE 1927</t>
  </si>
  <si>
    <t>Memoria DGE 1939</t>
  </si>
  <si>
    <t>National cattle herd</t>
  </si>
  <si>
    <t>Cattle slain</t>
  </si>
  <si>
    <t>Memoria DGE 1934</t>
  </si>
  <si>
    <t>Expenses</t>
  </si>
  <si>
    <t>Paraguay</t>
  </si>
  <si>
    <t>Memoria DGE 1933</t>
  </si>
  <si>
    <t>State income by source</t>
  </si>
  <si>
    <t>Average</t>
  </si>
  <si>
    <t>Date</t>
  </si>
  <si>
    <t>Net Balance</t>
  </si>
  <si>
    <t>Decade</t>
  </si>
  <si>
    <t>1880s</t>
  </si>
  <si>
    <t>1890s</t>
  </si>
  <si>
    <t>1900s</t>
  </si>
  <si>
    <t>1910s</t>
  </si>
  <si>
    <t>1920s</t>
  </si>
  <si>
    <t>Graph series</t>
  </si>
  <si>
    <t>Land</t>
  </si>
  <si>
    <t>Yerbales</t>
  </si>
  <si>
    <t>Area (km2)</t>
  </si>
  <si>
    <t>Revenue ($f)</t>
  </si>
  <si>
    <t>Paoli (1982)</t>
  </si>
  <si>
    <t>President's speech (1917)</t>
  </si>
  <si>
    <t>Smith (1927)</t>
  </si>
  <si>
    <t>Paraguay econ. and comm. conds., 1933</t>
  </si>
  <si>
    <t>Memoria DGE 1935</t>
  </si>
  <si>
    <t>Source: El Comercio Exterior Paraguayo en los años de 1914 a 1918 (DGE, 1919), The Rebirth of the Paraguayan Republic (Warren, 1985), Investments in Paraguay (U.S. DoC, 1954), Historia Monetaria del Paraguay (Paoli, 1982), El drama del Paraguay (Colle, 1936)</t>
  </si>
  <si>
    <t>Source: Paraguay im wort und bild, (Treuenfeld, 1906); Crecimiento económico en el Paraguay (Herken-Krauer, 2011); President's New Year Adress to Congress (1908, 1917); Anuario Estadístico 1915, 1940-41, 1946-47; Paraguay ; economic and commercial conditions - 1925, 1933, 1937; Memoria de la DGE - 1927, 1929, 1933, 1934, 1935, 1938, 1939; The Paraguayan Market (Smith, 1927); Apuntes sobre el desarrollo paraguayo (Miranda, 1979); Historia Monetaria del Paraguay (Paoli, 1982).</t>
  </si>
  <si>
    <t>I've converted from Guarani to $o/s in the following manner: divide by 86, as the $c/l was 1/86 of a $o/s in Oct/1940 (latest data I have), then multiply by 100; osea, multiply by 100/86.</t>
  </si>
  <si>
    <t>Propgoldinc</t>
  </si>
  <si>
    <t>Propgoldexp</t>
  </si>
  <si>
    <t>Tabela 2.1: Rendas aduaneiras do Paraguai entre 1881 e 1886, em pesos fortes</t>
  </si>
  <si>
    <t>Ano</t>
  </si>
  <si>
    <t>Arrecadação com importações</t>
  </si>
  <si>
    <t>Arrecadação com exportações</t>
  </si>
  <si>
    <t>Monetary expansion</t>
  </si>
  <si>
    <t>Média</t>
  </si>
  <si>
    <t>Anuario Estadístico del Paraguay, 1887</t>
  </si>
  <si>
    <t>What I will do is take Warren and Ashwell's data, and convert it proportionally into gold and paper, to then deflate it.</t>
  </si>
  <si>
    <t>Sources: Warren, 1985; Aquino, 1985; Prado, 2022; Savage, 1890; Stateman's Yearbook, 1888; Ashwell, 1989; Paoli, 1982; Britannica, 1911.</t>
  </si>
  <si>
    <t>Sources: Historia Monetaria del Paraguay (Paoli, 1982), except for 1928 onwards which is from El drama del Paraguay (Colle, 1936)</t>
  </si>
  <si>
    <t>Valor arrecadado</t>
  </si>
  <si>
    <t>Gastos governamentais</t>
  </si>
  <si>
    <t>Resultado primário</t>
  </si>
  <si>
    <t>RP%</t>
  </si>
  <si>
    <t>Raw Ashwell Data</t>
  </si>
  <si>
    <t>Income</t>
  </si>
  <si>
    <t>Average P.Y., one unit</t>
  </si>
  <si>
    <t>Source: Historia Monetaria del Paraguay (Paoli, 1982); Paraguay (Pan-American Union, 1950); Anuario Estadístico - 1943-44, 1945, 1946-47; Investments in Paraguay (US DoC, 1954).</t>
  </si>
  <si>
    <t>Sources: Historia Económica del Paraguay (Ashwell, 1989); Historia Económica del Paraguay II (Ashwell, 1996); Historia Monetaria del Paraguay (Paoli, 1982).</t>
  </si>
  <si>
    <t>Pop URU</t>
  </si>
  <si>
    <t>inc pcap</t>
  </si>
  <si>
    <t>Rec. Estado</t>
  </si>
  <si>
    <t>Gasto Estado</t>
  </si>
  <si>
    <t>% Aduana</t>
  </si>
  <si>
    <t>Sources: Warren, Ashwell, El Com. Ext. Paraguayo (1919), Paoli, Colle, Prado, Kleinpenning. Disclaimer: in the graph I used Ashwell data, and in here Warren up to 1903. Ashwell calculated the expenses, and Warren didn't.</t>
  </si>
  <si>
    <t>Tariffs (%)</t>
  </si>
  <si>
    <t>Asset sales (%)</t>
  </si>
  <si>
    <t>Other (%)</t>
  </si>
  <si>
    <t>YOY Growth (%)</t>
  </si>
  <si>
    <t>YOY Pop. Growth</t>
  </si>
  <si>
    <t>migué</t>
  </si>
  <si>
    <t>megamigué</t>
  </si>
  <si>
    <t>IN 1889 THE RAILROAD WAS SOLD FOR 1500000</t>
  </si>
  <si>
    <t>Rentas Nacionales</t>
  </si>
  <si>
    <t>Gasto total</t>
  </si>
  <si>
    <t>Resultado</t>
  </si>
  <si>
    <t>Aduana</t>
  </si>
  <si>
    <t>Población</t>
  </si>
  <si>
    <t>Vázquez-Presedo, 1971</t>
  </si>
  <si>
    <t>Using 1923 values for income</t>
  </si>
  <si>
    <t>Using 1925-26 values for income</t>
  </si>
  <si>
    <t>Using 1926-27 values for income</t>
  </si>
  <si>
    <t>Per Capita public income</t>
  </si>
  <si>
    <t>Source: Historia Económica del Paraguay I (Ashwell, 1989) (comments, 1900 and 1914); La Población del Paraguay (CICRED, 1974); Anuario Estadístico 1942, 1943-44, 1945, 1946-47; Apuntes sobre el desarrollo paraguayo (Miranda, 1979); Memoria de la Dirección General de Estadística, 1929; Memoria del Ministerio de Hacienda, 1926.</t>
  </si>
  <si>
    <t>Series of Series</t>
  </si>
  <si>
    <t>Subject</t>
  </si>
  <si>
    <t>Years</t>
  </si>
  <si>
    <t>Sources</t>
  </si>
  <si>
    <t>1900; 1914; 1920; 1925-50</t>
  </si>
  <si>
    <t>Mostly primary</t>
  </si>
  <si>
    <t>1900-1950</t>
  </si>
  <si>
    <t>Secondary</t>
  </si>
  <si>
    <t>Source: Prado (2022c); Miranda (1979); Memoria MH 1926; Memoria DGE 1929; Bertino y Millot, Rapoport, Vazquez-Presedo; DGE Argentina (1939)</t>
  </si>
  <si>
    <t>Population growth</t>
  </si>
  <si>
    <t>1905-1950</t>
  </si>
  <si>
    <t>Primary</t>
  </si>
  <si>
    <t>Percentage of income from tariffs</t>
  </si>
  <si>
    <t>Birth rates</t>
  </si>
  <si>
    <t>1930-1948</t>
  </si>
  <si>
    <t>Infant mortality rates</t>
  </si>
  <si>
    <t>1931-1948</t>
  </si>
  <si>
    <t>Death rates</t>
  </si>
  <si>
    <t>Average paper-gold conversion rate</t>
  </si>
  <si>
    <t>1900-22 (monthly); 1923-40 (yearly)</t>
  </si>
  <si>
    <t>Exchange rate of paper with foreign currencies</t>
  </si>
  <si>
    <t>1900-45; 1948; 1950</t>
  </si>
  <si>
    <t>Mostly secondary</t>
  </si>
  <si>
    <t>Food prices in Asunción</t>
  </si>
  <si>
    <t>1924-1950</t>
  </si>
  <si>
    <t>Foreign debt</t>
  </si>
  <si>
    <t>1900-08; 1910; 1912-19; 1921-22; 1924-50</t>
  </si>
  <si>
    <t>Sources: Warren, Ashwell, El Com. Ext. Paraguayo (1919), Paoli, Colle, Prado, Kleinpenning, Bertino y Millot, Rapoport, Vazquez-Presedo; Sokoloff and Zolt.</t>
  </si>
  <si>
    <t>Interest paid on foreign debt</t>
  </si>
  <si>
    <t>1930-43</t>
  </si>
  <si>
    <t>Average primary result</t>
  </si>
  <si>
    <t>Total tariff income</t>
  </si>
  <si>
    <t>1900-03; 1907-08; 1914-18; 1923-29; 1949-50</t>
  </si>
  <si>
    <t>State income and expenditure</t>
  </si>
  <si>
    <t>1900-03; 1906-48</t>
  </si>
  <si>
    <t>1900-03; 1916-19; 1923-25; 1949-50</t>
  </si>
  <si>
    <t>Domestic debt</t>
  </si>
  <si>
    <t>1914-16; 1918-19; 1925-31; 1935-42</t>
  </si>
  <si>
    <t>Tons exported of various goods</t>
  </si>
  <si>
    <t>1900-1950 (incomplete)</t>
  </si>
  <si>
    <t>Exports by destination</t>
  </si>
  <si>
    <t>1904-50</t>
  </si>
  <si>
    <t>Value exported of various goods</t>
  </si>
  <si>
    <t>1900-21; 1927-42; 1946; 1950</t>
  </si>
  <si>
    <t>Total exports and imports</t>
  </si>
  <si>
    <t>1900-50</t>
  </si>
  <si>
    <t>Sources: Prado, 2022; Ashwell, 1989; Warren, 1985; Paoli, 1982; Britannica, 1911, Rapoport, Vazquez-Presedo, Bertino y Millot; Topik, 1984</t>
  </si>
  <si>
    <t>Imports by origin</t>
  </si>
  <si>
    <t>1904-1947; 1950</t>
  </si>
  <si>
    <t>Rapoport, 2012</t>
  </si>
  <si>
    <t>Value imported of various goods</t>
  </si>
  <si>
    <t>1902-03; 1908-25; 1946; 1950</t>
  </si>
  <si>
    <t>yoypc</t>
  </si>
  <si>
    <t>1901-02; 1904-05; 1908; 1910; 1912; 1915; 1918; 1924; 1926-27; 1932-36; 1938-47</t>
  </si>
  <si>
    <t>1900-03; 1930-54</t>
  </si>
  <si>
    <t>Tons produced of various goods</t>
  </si>
  <si>
    <t>1901; 1907-1950 (incomplete)</t>
  </si>
  <si>
    <t>Data on the central railroad (passengers, tons carried, etc.)</t>
  </si>
  <si>
    <t>1900-01; 1905-44; 1950</t>
  </si>
  <si>
    <t>Investments in public road construction</t>
  </si>
  <si>
    <t>1926-42</t>
  </si>
  <si>
    <t>Deposit interest rates for paper</t>
  </si>
  <si>
    <t>1900-04; 1910; 1912; 1914-15; 1924 (incomplete)</t>
  </si>
  <si>
    <t>Deposit interest rates for gold</t>
  </si>
  <si>
    <t>Money</t>
  </si>
  <si>
    <t>Ratio</t>
  </si>
  <si>
    <t>Costa, 1998</t>
  </si>
  <si>
    <t>Contos de Réis ^</t>
  </si>
  <si>
    <t>Libras abaixo</t>
  </si>
  <si>
    <t>Sokoloff and Zolt</t>
  </si>
  <si>
    <t>Paraguay (1946)</t>
  </si>
  <si>
    <t>Percentage</t>
  </si>
  <si>
    <t>&gt;1000</t>
  </si>
  <si>
    <t>18,75-1000</t>
  </si>
  <si>
    <t>&lt;18,75</t>
  </si>
  <si>
    <t>State property</t>
  </si>
  <si>
    <t>Uruguay (1951)</t>
  </si>
  <si>
    <t>&gt;10</t>
  </si>
  <si>
    <t>1-9,99</t>
  </si>
  <si>
    <t>0,01-0,99</t>
  </si>
  <si>
    <t>Argentina (1914)</t>
  </si>
  <si>
    <t>&gt;50,01</t>
  </si>
  <si>
    <t>25,01-50,00</t>
  </si>
  <si>
    <t>6,25-25,00</t>
  </si>
  <si>
    <t>&lt;6,25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</si>
</sst>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3" formatCode="0.000%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5"/>
      <color theme="1"/>
      <name val="Arial"/>
      <scheme val="minor"/>
    </font>
    <font>
      <u/>
      <sz val="10"/>
      <color rgb="FF0000FF"/>
      <name val="Arial"/>
    </font>
    <font>
      <sz val="9"/>
      <color theme="1"/>
      <name val="Arial"/>
      <scheme val="minor"/>
    </font>
    <font>
      <sz val="12"/>
      <color rgb="FF000000"/>
      <name val="&quot;Times New Roman&quot;"/>
    </font>
    <font>
      <sz val="6"/>
      <color rgb="FF000000"/>
      <name val="&quot;Times New Roman&quot;"/>
    </font>
    <font>
      <sz val="11"/>
      <color rgb="FF000000"/>
      <name val="&quot;Times New Roman&quot;"/>
    </font>
    <font>
      <sz val="10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0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right"/>
    </xf>
    <xf numFmtId="9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vertical="top" wrapText="1"/>
    </xf>
    <xf numFmtId="3" fontId="1" fillId="0" borderId="0" xfId="0" applyNumberFormat="1" applyFont="1"/>
    <xf numFmtId="0" fontId="3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4" fontId="5" fillId="0" borderId="1" xfId="0" applyNumberFormat="1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center" wrapText="1"/>
    </xf>
    <xf numFmtId="10" fontId="5" fillId="0" borderId="2" xfId="0" applyNumberFormat="1" applyFont="1" applyBorder="1" applyAlignment="1">
      <alignment horizontal="center" wrapText="1"/>
    </xf>
    <xf numFmtId="4" fontId="5" fillId="0" borderId="3" xfId="0" applyNumberFormat="1" applyFont="1" applyBorder="1" applyAlignment="1">
      <alignment horizontal="center" wrapText="1"/>
    </xf>
    <xf numFmtId="3" fontId="5" fillId="0" borderId="3" xfId="0" applyNumberFormat="1" applyFont="1" applyBorder="1" applyAlignment="1">
      <alignment horizontal="center" wrapText="1"/>
    </xf>
    <xf numFmtId="4" fontId="5" fillId="0" borderId="2" xfId="0" applyNumberFormat="1" applyFont="1" applyBorder="1" applyAlignment="1">
      <alignment horizontal="center" wrapText="1"/>
    </xf>
    <xf numFmtId="3" fontId="5" fillId="0" borderId="2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" fontId="5" fillId="0" borderId="1" xfId="0" applyNumberFormat="1" applyFont="1" applyBorder="1" applyAlignment="1">
      <alignment horizontal="right" wrapText="1"/>
    </xf>
    <xf numFmtId="0" fontId="5" fillId="0" borderId="3" xfId="0" applyFont="1" applyBorder="1" applyAlignment="1">
      <alignment horizontal="center" wrapText="1"/>
    </xf>
    <xf numFmtId="4" fontId="5" fillId="0" borderId="3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center" wrapText="1"/>
    </xf>
    <xf numFmtId="4" fontId="5" fillId="0" borderId="2" xfId="0" applyNumberFormat="1" applyFont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right" wrapText="1"/>
    </xf>
    <xf numFmtId="0" fontId="7" fillId="0" borderId="3" xfId="0" applyFont="1" applyBorder="1" applyAlignment="1">
      <alignment horizontal="right" wrapText="1"/>
    </xf>
    <xf numFmtId="0" fontId="7" fillId="0" borderId="3" xfId="0" applyFont="1" applyBorder="1" applyAlignment="1">
      <alignment horizontal="center" wrapText="1"/>
    </xf>
    <xf numFmtId="3" fontId="7" fillId="0" borderId="3" xfId="0" applyNumberFormat="1" applyFont="1" applyBorder="1" applyAlignment="1">
      <alignment horizontal="right" wrapText="1"/>
    </xf>
    <xf numFmtId="0" fontId="7" fillId="0" borderId="2" xfId="0" applyFont="1" applyBorder="1" applyAlignment="1">
      <alignment horizontal="center" wrapText="1"/>
    </xf>
    <xf numFmtId="3" fontId="7" fillId="0" borderId="2" xfId="0" applyNumberFormat="1" applyFont="1" applyBorder="1" applyAlignment="1">
      <alignment horizontal="right" wrapText="1"/>
    </xf>
    <xf numFmtId="4" fontId="1" fillId="0" borderId="0" xfId="0" applyNumberFormat="1" applyFont="1"/>
    <xf numFmtId="0" fontId="4" fillId="0" borderId="0" xfId="0" applyFont="1"/>
    <xf numFmtId="10" fontId="1" fillId="0" borderId="0" xfId="0" applyNumberFormat="1" applyFont="1" applyAlignment="1">
      <alignment horizontal="center"/>
    </xf>
    <xf numFmtId="173" fontId="1" fillId="0" borderId="0" xfId="0" applyNumberFormat="1" applyFont="1"/>
    <xf numFmtId="164" fontId="1" fillId="0" borderId="0" xfId="0" applyNumberFormat="1" applyFont="1" applyAlignment="1">
      <alignment horizontal="center"/>
    </xf>
    <xf numFmtId="3" fontId="8" fillId="0" borderId="0" xfId="0" applyNumberFormat="1" applyFont="1"/>
    <xf numFmtId="0" fontId="0" fillId="0" borderId="0" xfId="0"/>
    <xf numFmtId="0" fontId="5" fillId="0" borderId="0" xfId="0" applyFont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CLADHE_Graphs!$G$123</c:f>
              <c:strCache>
                <c:ptCount val="1"/>
                <c:pt idx="0">
                  <c:v>Tariffs (%)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CLADHE_Graphs!$F$124:$F$157</c:f>
              <c:numCache>
                <c:formatCode>General</c:formatCode>
                <c:ptCount val="34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1907</c:v>
                </c:pt>
                <c:pt idx="24">
                  <c:v>1908</c:v>
                </c:pt>
                <c:pt idx="25">
                  <c:v>1914</c:v>
                </c:pt>
                <c:pt idx="26">
                  <c:v>1915</c:v>
                </c:pt>
                <c:pt idx="27">
                  <c:v>1916</c:v>
                </c:pt>
                <c:pt idx="28">
                  <c:v>1923</c:v>
                </c:pt>
                <c:pt idx="29">
                  <c:v>1924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</c:numCache>
            </c:numRef>
          </c:cat>
          <c:val>
            <c:numRef>
              <c:f>CLADHE_Graphs!$G$124:$G$157</c:f>
              <c:numCache>
                <c:formatCode>0.00%</c:formatCode>
                <c:ptCount val="34"/>
                <c:pt idx="0">
                  <c:v>0.95446585253155347</c:v>
                </c:pt>
                <c:pt idx="1">
                  <c:v>0.88010575828286686</c:v>
                </c:pt>
                <c:pt idx="2">
                  <c:v>0.91056662341297101</c:v>
                </c:pt>
                <c:pt idx="3">
                  <c:v>0.86141314234284005</c:v>
                </c:pt>
                <c:pt idx="4">
                  <c:v>0.51976034493798218</c:v>
                </c:pt>
                <c:pt idx="5">
                  <c:v>0.3364792289231982</c:v>
                </c:pt>
                <c:pt idx="6">
                  <c:v>0.44446193227758446</c:v>
                </c:pt>
                <c:pt idx="7">
                  <c:v>0.4000721166169473</c:v>
                </c:pt>
                <c:pt idx="8">
                  <c:v>0.34424085673638366</c:v>
                </c:pt>
                <c:pt idx="9">
                  <c:v>0.68195508711194386</c:v>
                </c:pt>
                <c:pt idx="10">
                  <c:v>0.72604397478450489</c:v>
                </c:pt>
                <c:pt idx="11">
                  <c:v>0.78034066908852884</c:v>
                </c:pt>
                <c:pt idx="12">
                  <c:v>0.73545594277508475</c:v>
                </c:pt>
                <c:pt idx="13">
                  <c:v>0.77662982295795602</c:v>
                </c:pt>
                <c:pt idx="14">
                  <c:v>0.88273388587221346</c:v>
                </c:pt>
                <c:pt idx="15">
                  <c:v>0.87103340432758025</c:v>
                </c:pt>
                <c:pt idx="16">
                  <c:v>0.86049849109335719</c:v>
                </c:pt>
                <c:pt idx="17">
                  <c:v>0.55703102508109814</c:v>
                </c:pt>
                <c:pt idx="18">
                  <c:v>0.62810240262272432</c:v>
                </c:pt>
                <c:pt idx="19">
                  <c:v>0.87918405442891556</c:v>
                </c:pt>
                <c:pt idx="20">
                  <c:v>0.87011031350386669</c:v>
                </c:pt>
                <c:pt idx="21">
                  <c:v>0.86035143664422042</c:v>
                </c:pt>
                <c:pt idx="22">
                  <c:v>0.84200111949141621</c:v>
                </c:pt>
                <c:pt idx="23">
                  <c:v>0.88165711886223352</c:v>
                </c:pt>
                <c:pt idx="24">
                  <c:v>0.58620911889587157</c:v>
                </c:pt>
                <c:pt idx="25">
                  <c:v>0.81830870534997358</c:v>
                </c:pt>
                <c:pt idx="26">
                  <c:v>0.67279357243230309</c:v>
                </c:pt>
                <c:pt idx="27">
                  <c:v>0.71588406416766293</c:v>
                </c:pt>
                <c:pt idx="28">
                  <c:v>0.8879488322868605</c:v>
                </c:pt>
                <c:pt idx="29">
                  <c:v>0.87730444186546175</c:v>
                </c:pt>
                <c:pt idx="30">
                  <c:v>0.72592933348973077</c:v>
                </c:pt>
                <c:pt idx="31">
                  <c:v>0.60669952049494624</c:v>
                </c:pt>
                <c:pt idx="32">
                  <c:v>0.62788812482912826</c:v>
                </c:pt>
                <c:pt idx="33">
                  <c:v>0.5287948755611841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7-43C8-97AB-9758253D8490}"/>
            </c:ext>
          </c:extLst>
        </c:ser>
        <c:ser>
          <c:idx val="1"/>
          <c:order val="1"/>
          <c:tx>
            <c:strRef>
              <c:f>CLADHE_Graphs!$H$123</c:f>
              <c:strCache>
                <c:ptCount val="1"/>
                <c:pt idx="0">
                  <c:v>Asset sales (%)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CLADHE_Graphs!$F$124:$F$157</c:f>
              <c:numCache>
                <c:formatCode>General</c:formatCode>
                <c:ptCount val="34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1907</c:v>
                </c:pt>
                <c:pt idx="24">
                  <c:v>1908</c:v>
                </c:pt>
                <c:pt idx="25">
                  <c:v>1914</c:v>
                </c:pt>
                <c:pt idx="26">
                  <c:v>1915</c:v>
                </c:pt>
                <c:pt idx="27">
                  <c:v>1916</c:v>
                </c:pt>
                <c:pt idx="28">
                  <c:v>1923</c:v>
                </c:pt>
                <c:pt idx="29">
                  <c:v>1924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</c:numCache>
            </c:numRef>
          </c:cat>
          <c:val>
            <c:numRef>
              <c:f>CLADHE_Graphs!$H$124:$H$157</c:f>
              <c:numCache>
                <c:formatCode>0.00%</c:formatCode>
                <c:ptCount val="34"/>
                <c:pt idx="0">
                  <c:v>1.321162741641429E-2</c:v>
                </c:pt>
                <c:pt idx="1">
                  <c:v>7.5840350375295414E-3</c:v>
                </c:pt>
                <c:pt idx="2">
                  <c:v>8.6322745264810763E-3</c:v>
                </c:pt>
                <c:pt idx="3">
                  <c:v>6.2670303295824153E-2</c:v>
                </c:pt>
                <c:pt idx="4">
                  <c:v>0.43588157379849357</c:v>
                </c:pt>
                <c:pt idx="5">
                  <c:v>0.64994279728899218</c:v>
                </c:pt>
                <c:pt idx="6">
                  <c:v>0.5517777174974714</c:v>
                </c:pt>
                <c:pt idx="7">
                  <c:v>0.51504138065304705</c:v>
                </c:pt>
                <c:pt idx="8">
                  <c:v>0.56715812829904699</c:v>
                </c:pt>
                <c:pt idx="9">
                  <c:v>0.14305958116291972</c:v>
                </c:pt>
                <c:pt idx="10">
                  <c:v>0.10071850930712009</c:v>
                </c:pt>
                <c:pt idx="11">
                  <c:v>0.13293466573580079</c:v>
                </c:pt>
                <c:pt idx="12">
                  <c:v>0.1602915075028169</c:v>
                </c:pt>
                <c:pt idx="13">
                  <c:v>9.952366289839347E-2</c:v>
                </c:pt>
                <c:pt idx="14">
                  <c:v>1.7475141316535173E-2</c:v>
                </c:pt>
                <c:pt idx="15">
                  <c:v>8.3733918500113233E-2</c:v>
                </c:pt>
                <c:pt idx="16">
                  <c:v>1.9762960596338402E-2</c:v>
                </c:pt>
                <c:pt idx="17">
                  <c:v>1.251695257199194E-2</c:v>
                </c:pt>
                <c:pt idx="18">
                  <c:v>2.6234601396331991E-2</c:v>
                </c:pt>
                <c:pt idx="19">
                  <c:v>1.2914402611129301E-3</c:v>
                </c:pt>
                <c:pt idx="20">
                  <c:v>1.8566434405882686E-3</c:v>
                </c:pt>
                <c:pt idx="21">
                  <c:v>2.1932253531301879E-3</c:v>
                </c:pt>
                <c:pt idx="22">
                  <c:v>7.8978280879045022E-3</c:v>
                </c:pt>
                <c:pt idx="23">
                  <c:v>8.6884940944881878E-3</c:v>
                </c:pt>
                <c:pt idx="24">
                  <c:v>1.6223053386415216E-3</c:v>
                </c:pt>
                <c:pt idx="25">
                  <c:v>7.0018343510021355E-3</c:v>
                </c:pt>
                <c:pt idx="26" formatCode="0%">
                  <c:v>0</c:v>
                </c:pt>
                <c:pt idx="27" formatCode="0%">
                  <c:v>0</c:v>
                </c:pt>
                <c:pt idx="28" formatCode="0%">
                  <c:v>0</c:v>
                </c:pt>
                <c:pt idx="29" formatCode="0%">
                  <c:v>0</c:v>
                </c:pt>
                <c:pt idx="30" formatCode="0%">
                  <c:v>0</c:v>
                </c:pt>
                <c:pt idx="31" formatCode="0%">
                  <c:v>0</c:v>
                </c:pt>
                <c:pt idx="32" formatCode="0%">
                  <c:v>0</c:v>
                </c:pt>
                <c:pt idx="33" formatCode="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7-43C8-97AB-9758253D8490}"/>
            </c:ext>
          </c:extLst>
        </c:ser>
        <c:ser>
          <c:idx val="2"/>
          <c:order val="2"/>
          <c:tx>
            <c:strRef>
              <c:f>CLADHE_Graphs!$I$123</c:f>
              <c:strCache>
                <c:ptCount val="1"/>
                <c:pt idx="0">
                  <c:v>Other (%)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CLADHE_Graphs!$F$124:$F$157</c:f>
              <c:numCache>
                <c:formatCode>General</c:formatCode>
                <c:ptCount val="34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1907</c:v>
                </c:pt>
                <c:pt idx="24">
                  <c:v>1908</c:v>
                </c:pt>
                <c:pt idx="25">
                  <c:v>1914</c:v>
                </c:pt>
                <c:pt idx="26">
                  <c:v>1915</c:v>
                </c:pt>
                <c:pt idx="27">
                  <c:v>1916</c:v>
                </c:pt>
                <c:pt idx="28">
                  <c:v>1923</c:v>
                </c:pt>
                <c:pt idx="29">
                  <c:v>1924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</c:numCache>
            </c:numRef>
          </c:cat>
          <c:val>
            <c:numRef>
              <c:f>CLADHE_Graphs!$I$124:$I$157</c:f>
              <c:numCache>
                <c:formatCode>0.00%</c:formatCode>
                <c:ptCount val="34"/>
                <c:pt idx="0">
                  <c:v>3.2322520052032289E-2</c:v>
                </c:pt>
                <c:pt idx="1">
                  <c:v>0.11231020667960356</c:v>
                </c:pt>
                <c:pt idx="2">
                  <c:v>8.0801102060547914E-2</c:v>
                </c:pt>
                <c:pt idx="3">
                  <c:v>7.591655436133582E-2</c:v>
                </c:pt>
                <c:pt idx="4">
                  <c:v>4.4358081263524335E-2</c:v>
                </c:pt>
                <c:pt idx="5">
                  <c:v>1.3577973787809656E-2</c:v>
                </c:pt>
                <c:pt idx="6">
                  <c:v>3.7603502249441423E-3</c:v>
                </c:pt>
                <c:pt idx="7">
                  <c:v>8.4886502730005642E-2</c:v>
                </c:pt>
                <c:pt idx="8">
                  <c:v>8.8601014964569291E-2</c:v>
                </c:pt>
                <c:pt idx="9">
                  <c:v>0.17498533172513642</c:v>
                </c:pt>
                <c:pt idx="10">
                  <c:v>0.17323751590837499</c:v>
                </c:pt>
                <c:pt idx="11">
                  <c:v>8.6724665175670346E-2</c:v>
                </c:pt>
                <c:pt idx="12">
                  <c:v>0.1042525497220983</c:v>
                </c:pt>
                <c:pt idx="13">
                  <c:v>0.12384651414365055</c:v>
                </c:pt>
                <c:pt idx="14">
                  <c:v>9.9790972811251377E-2</c:v>
                </c:pt>
                <c:pt idx="15">
                  <c:v>4.5232677172306501E-2</c:v>
                </c:pt>
                <c:pt idx="16">
                  <c:v>0.11973854831030439</c:v>
                </c:pt>
                <c:pt idx="17">
                  <c:v>0.43045202234690993</c:v>
                </c:pt>
                <c:pt idx="18">
                  <c:v>0.34566299598094363</c:v>
                </c:pt>
                <c:pt idx="19">
                  <c:v>0.1195245053099715</c:v>
                </c:pt>
                <c:pt idx="20">
                  <c:v>0.12803304305554508</c:v>
                </c:pt>
                <c:pt idx="21">
                  <c:v>0.13745533800264942</c:v>
                </c:pt>
                <c:pt idx="22">
                  <c:v>0.15010105242067928</c:v>
                </c:pt>
                <c:pt idx="23">
                  <c:v>0.10965438704327823</c:v>
                </c:pt>
                <c:pt idx="24">
                  <c:v>0.41216857576548693</c:v>
                </c:pt>
                <c:pt idx="25">
                  <c:v>0.17468946029902432</c:v>
                </c:pt>
                <c:pt idx="26">
                  <c:v>0.32720642756769691</c:v>
                </c:pt>
                <c:pt idx="27">
                  <c:v>0.28411593583233707</c:v>
                </c:pt>
                <c:pt idx="28">
                  <c:v>0.1120511677131395</c:v>
                </c:pt>
                <c:pt idx="29">
                  <c:v>0.12269555813453825</c:v>
                </c:pt>
                <c:pt idx="30">
                  <c:v>0.27407066651026923</c:v>
                </c:pt>
                <c:pt idx="31">
                  <c:v>0.39330047950505376</c:v>
                </c:pt>
                <c:pt idx="32">
                  <c:v>0.37211187517087174</c:v>
                </c:pt>
                <c:pt idx="33">
                  <c:v>0.4712051244388159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D7-43C8-97AB-9758253D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104529"/>
        <c:axId val="374665604"/>
      </c:lineChart>
      <c:catAx>
        <c:axId val="293104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74665604"/>
        <c:crosses val="autoZero"/>
        <c:auto val="1"/>
        <c:lblAlgn val="ctr"/>
        <c:lblOffset val="100"/>
        <c:noMultiLvlLbl val="1"/>
      </c:catAx>
      <c:valAx>
        <c:axId val="374665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931045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167640</xdr:colOff>
      <xdr:row>28</xdr:row>
      <xdr:rowOff>91440</xdr:rowOff>
    </xdr:from>
    <xdr:to>
      <xdr:col>7</xdr:col>
      <xdr:colOff>731520</xdr:colOff>
      <xdr:row>34</xdr:row>
      <xdr:rowOff>38100</xdr:rowOff>
    </xdr:to>
    <xdr:sp macro="" textlink="">
      <xdr:nvSpPr>
        <xdr:cNvPr id="2075" name="Text Box 27" hidden="1">
          <a:extLst>
            <a:ext uri="{FF2B5EF4-FFF2-40B4-BE49-F238E27FC236}">
              <a16:creationId xmlns:a16="http://schemas.microsoft.com/office/drawing/2014/main" id="{B57B828F-1E1C-66BF-DECD-239E571CC281}"/>
            </a:ext>
          </a:extLst>
        </xdr:cNvPr>
        <xdr:cNvSpPr txBox="1">
          <a:spLocks noChangeArrowheads="1"/>
        </xdr:cNvSpPr>
      </xdr:nvSpPr>
      <xdr:spPr bwMode="auto">
        <a:xfrm>
          <a:off x="2773680" y="5638800"/>
          <a:ext cx="403860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533400</xdr:colOff>
      <xdr:row>112</xdr:row>
      <xdr:rowOff>95250</xdr:rowOff>
    </xdr:from>
    <xdr:ext cx="5715000" cy="3533775"/>
    <xdr:graphicFrame macro="">
      <xdr:nvGraphicFramePr>
        <xdr:cNvPr id="13" name="Chart 13" title="Gráfico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ário Lemos" id="{5FE2A1BC-6E4B-489E-858D-B5D4818BB821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5" dT="2023-11-15T21:47:54.00" personId="{5FE2A1BC-6E4B-489E-858D-B5D4818BB821}" id="{70DD66F4-FCEF-4925-8A2F-5157673F1EDB}">
    <text>Book says 2098 but I feel that's unlikely</text>
  </threadedComment>
  <threadedComment ref="A121" dT="2024-09-25T14:30:38.00" personId="{5FE2A1BC-6E4B-489E-858D-B5D4818BB821}" id="{8CF38371-65AA-4C15-BC5E-C29537676095}">
    <text>Colle (1936) says 1551, seems more likely maybe</text>
  </threadedComment>
  <threadedComment ref="A143" dT="2024-03-26T17:19:09.00" personId="{5FE2A1BC-6E4B-489E-858D-B5D4818BB821}" id="{5880F4E4-61A5-4981-A306-6B5C2DE6311C}">
    <text>El Diario of 31/10/1911 (CJSG) gives the "official" gold as 1300, and "commercial" as 1115</text>
  </threadedComment>
  <threadedComment ref="A179" dT="2024-03-18T17:04:16.00" personId="{5FE2A1BC-6E4B-489E-858D-B5D4818BB821}" id="{9C8BA87D-3D92-41DC-888E-904BB4570D6B}">
    <text>CA_12_2_21 (Ynforme n. 1) says here the gold prize was already 3000 - the ynforme's transcript is available on my drive</text>
  </threadedComment>
  <threadedComment ref="A182" dT="2024-03-18T17:41:14.00" personId="{5FE2A1BC-6E4B-489E-858D-B5D4818BB821}" id="{69FCF963-090C-49DB-8F2D-830F0D64FFA8}">
    <text>CA_12_2_21 (Informe n. 2) says here the gold prize was 3800, and the official gold prize 2300 - the informe's transcript is available on my drive</text>
  </threadedComment>
  <threadedComment ref="A205" dT="2024-09-25T14:31:25.00" personId="{5FE2A1BC-6E4B-489E-858D-B5D4818BB821}" id="{6BD2D3DF-A77F-4702-A584-6A65A822DAAF}">
    <text>Colle (1936) says 3265; Díaz (1985) says 3200. This date is important because it was when the Oficina de Cambios was founded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68" dT="2024-09-29T12:27:42.00" personId="{5FE2A1BC-6E4B-489E-858D-B5D4818BB821}" id="{2BC01AD5-615C-4C6D-AFED-4403FA3095E9}" done="1">
    <text>Gastos listados como ordinários em 1881 (ou seja, o valor real provavelmente é superior); Warren afirma ser impossível chegar a um valor próximo ao real.</text>
  </threadedComment>
  <threadedComment ref="K71" dT="2024-09-29T12:30:52.00" personId="{5FE2A1BC-6E4B-489E-858D-B5D4818BB821}" id="{8D7E637A-948A-4BFC-A0CB-D06EC70F517D}">
    <text>Dado aproximado; o déficit desse ano foi de aproximadamente 400.000 $f</text>
  </threadedComment>
  <threadedComment ref="H160" dT="2024-10-06T14:51:05.00" personId="{5FE2A1BC-6E4B-489E-858D-B5D4818BB821}" id="{E5ADCA86-3092-4C26-8E86-309B60297699}">
    <text>Using the 1886 pop estimate and 2% p.y. growth</text>
  </threadedComment>
  <threadedComment ref="H161" dT="2024-10-06T15:46:06.00" personId="{5FE2A1BC-6E4B-489E-858D-B5D4818BB821}" id="{1879666D-C4B5-4D80-B26D-D6BAE5384C2B}">
    <text>Using our 1891 value and Ashwell's 1900 one</text>
  </threadedComment>
  <threadedComment ref="H162" dT="2024-10-06T15:49:18.00" personId="{5FE2A1BC-6E4B-489E-858D-B5D4818BB821}" id="{CA5F1BE3-0D9E-4CAF-AF2B-0A3C53DD269D}">
    <text>650000</text>
  </threadedComment>
  <threadedComment ref="H163" dT="2024-10-06T15:54:31.00" personId="{5FE2A1BC-6E4B-489E-858D-B5D4818BB821}" id="{39BA869E-E978-4F48-A649-9255DB7087AD}">
    <text>650000</text>
  </threadedComment>
  <threadedComment ref="AB190" dT="2024-10-10T16:26:14.00" personId="{5FE2A1BC-6E4B-489E-858D-B5D4818BB821}" id="{0F3A0DF5-2EDA-461B-BCA4-2A6FFD22BD62}">
    <text>p228</text>
  </threadedComment>
  <threadedComment ref="AB201" dT="2024-10-11T14:16:15.00" personId="{5FE2A1BC-6E4B-489E-858D-B5D4818BB821}" id="{DC5C0E0A-3029-41E3-BB50-8CE9C991E951}" done="1">
    <text>1888</text>
  </threadedComment>
  <threadedComment ref="AB213" dT="2024-10-11T14:16:05.00" personId="{5FE2A1BC-6E4B-489E-858D-B5D4818BB821}" id="{AF03139D-AE57-4CF9-957E-059636F72754}" done="1">
    <text>1900</text>
  </threadedComment>
  <threadedComment ref="AB233" dT="2024-10-11T14:15:47.00" personId="{5FE2A1BC-6E4B-489E-858D-B5D4818BB821}" id="{B29C70AA-5FCA-4D57-A019-92442A4FCD70}" done="1">
    <text>1920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babel.hathitrust.org/cgi/pt?id=nnc1.cu56306814" TargetMode="External"/><Relationship Id="rId1" Type="http://schemas.openxmlformats.org/officeDocument/2006/relationships/hyperlink" Target="https://babel.hathitrust.org/cgi/pt?id=nnc1.cu56306814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99"/>
  <sheetViews>
    <sheetView tabSelected="1" workbookViewId="0">
      <selection activeCell="B1" sqref="A1:B1048576"/>
    </sheetView>
  </sheetViews>
  <sheetFormatPr defaultColWidth="12.6640625" defaultRowHeight="15.75" customHeight="1"/>
  <sheetData>
    <row r="1" spans="1:7">
      <c r="A1" s="1" t="s">
        <v>20</v>
      </c>
      <c r="B1" s="1" t="s">
        <v>97</v>
      </c>
    </row>
    <row r="2" spans="1:7">
      <c r="A2" s="1">
        <v>817</v>
      </c>
      <c r="B2" s="49">
        <v>1</v>
      </c>
    </row>
    <row r="3" spans="1:7">
      <c r="A3" s="1">
        <v>827</v>
      </c>
      <c r="B3" s="49">
        <v>32</v>
      </c>
    </row>
    <row r="4" spans="1:7">
      <c r="A4" s="1">
        <v>815</v>
      </c>
      <c r="B4" s="49">
        <v>61</v>
      </c>
    </row>
    <row r="5" spans="1:7">
      <c r="A5" s="1">
        <v>792</v>
      </c>
      <c r="B5" s="49">
        <v>92</v>
      </c>
      <c r="C5" s="4"/>
      <c r="D5" s="4"/>
    </row>
    <row r="6" spans="1:7">
      <c r="A6" s="1">
        <v>800</v>
      </c>
      <c r="B6" s="49">
        <v>122</v>
      </c>
      <c r="C6" s="4"/>
      <c r="D6" s="4"/>
      <c r="E6" s="4"/>
      <c r="F6" s="4"/>
      <c r="G6" s="4"/>
    </row>
    <row r="7" spans="1:7">
      <c r="A7" s="1">
        <v>827</v>
      </c>
      <c r="B7" s="49">
        <v>153</v>
      </c>
    </row>
    <row r="8" spans="1:7">
      <c r="A8" s="1">
        <v>838</v>
      </c>
      <c r="B8" s="49">
        <v>183</v>
      </c>
    </row>
    <row r="9" spans="1:7">
      <c r="A9" s="1">
        <v>845</v>
      </c>
      <c r="B9" s="49">
        <v>214</v>
      </c>
    </row>
    <row r="10" spans="1:7">
      <c r="A10" s="1">
        <v>840</v>
      </c>
      <c r="B10" s="49">
        <v>245</v>
      </c>
    </row>
    <row r="11" spans="1:7">
      <c r="A11" s="1">
        <v>834</v>
      </c>
      <c r="B11" s="49">
        <v>275</v>
      </c>
    </row>
    <row r="12" spans="1:7">
      <c r="A12" s="1">
        <v>815</v>
      </c>
      <c r="B12" s="49">
        <v>306</v>
      </c>
    </row>
    <row r="13" spans="1:7">
      <c r="A13" s="1">
        <v>800</v>
      </c>
      <c r="B13" s="49">
        <v>336</v>
      </c>
      <c r="C13" s="4"/>
      <c r="D13" s="4"/>
      <c r="E13" s="4"/>
      <c r="F13" s="4"/>
      <c r="G13" s="4"/>
    </row>
    <row r="14" spans="1:7">
      <c r="A14" s="1">
        <v>793</v>
      </c>
      <c r="B14" s="49">
        <v>367</v>
      </c>
    </row>
    <row r="15" spans="1:7">
      <c r="A15" s="1">
        <v>789</v>
      </c>
      <c r="B15" s="49">
        <v>398</v>
      </c>
      <c r="C15" s="4"/>
      <c r="D15" s="4"/>
      <c r="E15" s="4"/>
      <c r="F15" s="4"/>
      <c r="G15" s="4"/>
    </row>
    <row r="16" spans="1:7">
      <c r="A16" s="1">
        <v>790</v>
      </c>
      <c r="B16" s="49">
        <v>426</v>
      </c>
      <c r="C16" s="4"/>
      <c r="D16" s="4"/>
      <c r="E16" s="4"/>
      <c r="F16" s="4"/>
      <c r="G16" s="4"/>
    </row>
    <row r="17" spans="1:16">
      <c r="A17" s="1">
        <v>790</v>
      </c>
      <c r="B17" s="49">
        <v>457</v>
      </c>
    </row>
    <row r="18" spans="1:16">
      <c r="A18" s="1">
        <v>785</v>
      </c>
      <c r="B18" s="49">
        <v>487</v>
      </c>
    </row>
    <row r="19" spans="1:16">
      <c r="A19" s="1">
        <v>820</v>
      </c>
      <c r="B19" s="49">
        <v>518</v>
      </c>
      <c r="J19" s="4"/>
      <c r="L19" s="4"/>
      <c r="M19" s="4"/>
    </row>
    <row r="20" spans="1:16">
      <c r="A20" s="1">
        <v>865</v>
      </c>
      <c r="B20" s="49">
        <v>548</v>
      </c>
      <c r="J20" s="4"/>
      <c r="L20" s="4"/>
      <c r="M20" s="4"/>
    </row>
    <row r="21" spans="1:16">
      <c r="A21" s="1">
        <v>870</v>
      </c>
      <c r="B21" s="49">
        <v>579</v>
      </c>
      <c r="J21" s="4"/>
      <c r="L21" s="4"/>
      <c r="M21" s="4"/>
      <c r="N21" s="4"/>
      <c r="O21" s="4"/>
      <c r="P21" s="4"/>
    </row>
    <row r="22" spans="1:16">
      <c r="A22" s="1">
        <v>864</v>
      </c>
      <c r="B22" s="49">
        <v>610</v>
      </c>
      <c r="J22" s="4"/>
      <c r="L22" s="4"/>
      <c r="M22" s="4"/>
      <c r="N22" s="4"/>
      <c r="O22" s="4"/>
      <c r="P22" s="4"/>
    </row>
    <row r="23" spans="1:16">
      <c r="A23" s="1">
        <v>885</v>
      </c>
      <c r="B23" s="49">
        <v>640</v>
      </c>
    </row>
    <row r="24" spans="1:16">
      <c r="A24" s="1">
        <v>910</v>
      </c>
      <c r="B24" s="49">
        <v>671</v>
      </c>
    </row>
    <row r="25" spans="1:16">
      <c r="A25" s="1">
        <v>922</v>
      </c>
      <c r="B25" s="49">
        <v>701</v>
      </c>
      <c r="K25" s="1"/>
      <c r="L25" s="1"/>
      <c r="M25" s="1"/>
      <c r="N25" s="1"/>
      <c r="O25" s="1"/>
      <c r="P25" s="1"/>
    </row>
    <row r="26" spans="1:16">
      <c r="A26" s="1">
        <v>925</v>
      </c>
      <c r="B26" s="49">
        <v>732</v>
      </c>
      <c r="H26" s="4"/>
      <c r="I26" s="4"/>
      <c r="K26" s="1"/>
      <c r="L26" s="1"/>
      <c r="M26" s="1"/>
      <c r="N26" s="1"/>
      <c r="O26" s="1"/>
      <c r="P26" s="1"/>
    </row>
    <row r="27" spans="1:16">
      <c r="A27" s="1">
        <v>930</v>
      </c>
      <c r="B27" s="49">
        <v>763</v>
      </c>
      <c r="H27" s="4"/>
      <c r="I27" s="4"/>
      <c r="K27" s="1"/>
      <c r="L27" s="1"/>
      <c r="M27" s="1"/>
      <c r="N27" s="1"/>
      <c r="O27" s="1"/>
      <c r="P27" s="1"/>
    </row>
    <row r="28" spans="1:16">
      <c r="A28" s="1">
        <v>940</v>
      </c>
      <c r="B28" s="49">
        <v>791</v>
      </c>
      <c r="H28" s="4"/>
      <c r="I28" s="4"/>
      <c r="K28" s="1"/>
      <c r="L28" s="1"/>
      <c r="M28" s="1"/>
      <c r="N28" s="1"/>
      <c r="O28" s="1"/>
      <c r="P28" s="1"/>
    </row>
    <row r="29" spans="1:16">
      <c r="A29" s="1">
        <v>995</v>
      </c>
      <c r="B29" s="49">
        <v>822</v>
      </c>
      <c r="H29" s="4"/>
      <c r="I29" s="4"/>
      <c r="K29" s="1"/>
      <c r="L29" s="1"/>
      <c r="M29" s="1"/>
      <c r="N29" s="1"/>
      <c r="O29" s="1"/>
      <c r="P29" s="1"/>
    </row>
    <row r="30" spans="1:16">
      <c r="A30" s="1">
        <v>925</v>
      </c>
      <c r="B30" s="49">
        <v>852</v>
      </c>
      <c r="K30" s="1"/>
      <c r="L30" s="1"/>
      <c r="M30" s="1"/>
      <c r="N30" s="1"/>
      <c r="O30" s="1"/>
      <c r="P30" s="1"/>
    </row>
    <row r="31" spans="1:16">
      <c r="A31" s="1">
        <v>845</v>
      </c>
      <c r="B31" s="49">
        <v>883</v>
      </c>
      <c r="J31" s="4"/>
      <c r="K31" s="1"/>
      <c r="L31" s="1"/>
      <c r="M31" s="1"/>
      <c r="N31" s="1"/>
      <c r="O31" s="1"/>
      <c r="P31" s="1"/>
    </row>
    <row r="32" spans="1:16">
      <c r="A32" s="1">
        <v>900</v>
      </c>
      <c r="B32" s="49">
        <v>913</v>
      </c>
      <c r="J32" s="4"/>
      <c r="K32" s="1"/>
      <c r="L32" s="1"/>
      <c r="M32" s="1"/>
      <c r="N32" s="1"/>
      <c r="O32" s="1"/>
      <c r="P32" s="1"/>
    </row>
    <row r="33" spans="1:16">
      <c r="A33" s="1">
        <v>1010</v>
      </c>
      <c r="B33" s="49">
        <v>944</v>
      </c>
      <c r="I33" s="4"/>
      <c r="J33" s="4"/>
      <c r="K33" s="1"/>
      <c r="L33" s="1"/>
      <c r="M33" s="1"/>
      <c r="N33" s="1"/>
      <c r="O33" s="1"/>
      <c r="P33" s="1"/>
    </row>
    <row r="34" spans="1:16">
      <c r="A34" s="1">
        <v>950</v>
      </c>
      <c r="B34" s="49">
        <v>975</v>
      </c>
      <c r="K34" s="1"/>
      <c r="L34" s="1"/>
      <c r="M34" s="1"/>
      <c r="N34" s="1"/>
      <c r="O34" s="1"/>
      <c r="P34" s="1"/>
    </row>
    <row r="35" spans="1:16">
      <c r="A35" s="1">
        <v>890</v>
      </c>
      <c r="B35" s="49">
        <v>1005</v>
      </c>
      <c r="K35" s="1"/>
      <c r="L35" s="1"/>
      <c r="M35" s="1"/>
      <c r="N35" s="1"/>
      <c r="O35" s="1"/>
      <c r="P35" s="1"/>
    </row>
    <row r="36" spans="1:16">
      <c r="A36" s="1">
        <v>980</v>
      </c>
      <c r="B36" s="49">
        <v>1036</v>
      </c>
      <c r="K36" s="1"/>
      <c r="L36" s="1"/>
      <c r="M36" s="1"/>
      <c r="N36" s="1"/>
      <c r="O36" s="1"/>
      <c r="P36" s="1"/>
    </row>
    <row r="37" spans="1:16">
      <c r="A37" s="1">
        <v>980</v>
      </c>
      <c r="B37" s="49">
        <v>1066</v>
      </c>
      <c r="K37" s="1"/>
      <c r="L37" s="1"/>
      <c r="M37" s="1"/>
      <c r="N37" s="1"/>
      <c r="O37" s="1"/>
      <c r="P37" s="1"/>
    </row>
    <row r="38" spans="1:16">
      <c r="A38" s="1">
        <v>1015</v>
      </c>
      <c r="B38" s="49">
        <v>1097</v>
      </c>
      <c r="K38" s="1"/>
      <c r="L38" s="1"/>
      <c r="M38" s="1"/>
      <c r="N38" s="1"/>
      <c r="O38" s="1"/>
      <c r="P38" s="1"/>
    </row>
    <row r="39" spans="1:16">
      <c r="A39" s="1">
        <v>1027</v>
      </c>
      <c r="B39" s="49">
        <v>1128</v>
      </c>
      <c r="K39" s="1"/>
      <c r="L39" s="1"/>
      <c r="M39" s="1"/>
      <c r="N39" s="1"/>
      <c r="O39" s="1"/>
      <c r="P39" s="1"/>
    </row>
    <row r="40" spans="1:16">
      <c r="A40" s="1">
        <v>1000</v>
      </c>
      <c r="B40" s="49">
        <v>1156</v>
      </c>
      <c r="C40" s="4"/>
      <c r="D40" s="4"/>
      <c r="H40" s="4"/>
      <c r="I40" s="4"/>
      <c r="K40" s="1"/>
      <c r="L40" s="1"/>
      <c r="M40" s="1"/>
      <c r="N40" s="1"/>
      <c r="O40" s="1"/>
      <c r="P40" s="1"/>
    </row>
    <row r="41" spans="1:16">
      <c r="A41" s="1">
        <v>1020</v>
      </c>
      <c r="B41" s="49">
        <v>1187</v>
      </c>
      <c r="C41" s="4"/>
      <c r="D41" s="4"/>
      <c r="H41" s="4"/>
      <c r="I41" s="4"/>
      <c r="K41" s="1"/>
      <c r="L41" s="1"/>
      <c r="M41" s="1"/>
      <c r="N41" s="1"/>
      <c r="O41" s="1"/>
      <c r="P41" s="1"/>
    </row>
    <row r="42" spans="1:16">
      <c r="A42" s="1">
        <v>1035</v>
      </c>
      <c r="B42" s="49">
        <v>1217</v>
      </c>
      <c r="H42" s="4"/>
      <c r="I42" s="4"/>
      <c r="K42" s="1"/>
      <c r="L42" s="1"/>
      <c r="M42" s="1"/>
      <c r="N42" s="1"/>
      <c r="O42" s="1"/>
      <c r="P42" s="1"/>
    </row>
    <row r="43" spans="1:16">
      <c r="A43" s="1">
        <v>1080</v>
      </c>
      <c r="B43" s="49">
        <v>1248</v>
      </c>
      <c r="H43" s="4"/>
      <c r="I43" s="4"/>
      <c r="K43" s="1"/>
      <c r="L43" s="1"/>
      <c r="M43" s="1"/>
      <c r="N43" s="1"/>
      <c r="O43" s="1"/>
      <c r="P43" s="1"/>
    </row>
    <row r="44" spans="1:16">
      <c r="A44" s="1">
        <v>1015</v>
      </c>
      <c r="B44" s="49">
        <v>1278</v>
      </c>
      <c r="K44" s="1"/>
      <c r="L44" s="1"/>
      <c r="M44" s="1"/>
      <c r="N44" s="1"/>
      <c r="O44" s="1"/>
      <c r="P44" s="1"/>
    </row>
    <row r="45" spans="1:16">
      <c r="A45" s="1">
        <v>915</v>
      </c>
      <c r="B45" s="49">
        <v>1309</v>
      </c>
      <c r="K45" s="1"/>
      <c r="L45" s="1"/>
      <c r="M45" s="1"/>
      <c r="N45" s="1"/>
      <c r="O45" s="1"/>
      <c r="P45" s="1"/>
    </row>
    <row r="46" spans="1:16">
      <c r="A46" s="1">
        <v>890</v>
      </c>
      <c r="B46" s="49">
        <v>1340</v>
      </c>
      <c r="K46" s="1"/>
      <c r="L46" s="1"/>
      <c r="M46" s="1"/>
      <c r="N46" s="1"/>
      <c r="O46" s="1"/>
      <c r="P46" s="1"/>
    </row>
    <row r="47" spans="1:16">
      <c r="A47" s="1">
        <v>877</v>
      </c>
      <c r="B47" s="49">
        <v>1370</v>
      </c>
      <c r="K47" s="1"/>
      <c r="L47" s="1"/>
      <c r="M47" s="1"/>
      <c r="N47" s="1"/>
      <c r="O47" s="1"/>
      <c r="P47" s="1"/>
    </row>
    <row r="48" spans="1:16">
      <c r="A48" s="1">
        <v>877</v>
      </c>
      <c r="B48" s="49">
        <v>1401</v>
      </c>
      <c r="K48" s="1"/>
      <c r="L48" s="1"/>
      <c r="M48" s="1"/>
      <c r="N48" s="1"/>
      <c r="O48" s="1"/>
      <c r="P48" s="1"/>
    </row>
    <row r="49" spans="1:16">
      <c r="A49" s="1">
        <v>877</v>
      </c>
      <c r="B49" s="49">
        <v>1431</v>
      </c>
      <c r="K49" s="1"/>
      <c r="L49" s="1"/>
      <c r="M49" s="1"/>
      <c r="N49" s="1"/>
      <c r="O49" s="1"/>
      <c r="P49" s="1"/>
    </row>
    <row r="50" spans="1:16">
      <c r="A50" s="1">
        <v>877</v>
      </c>
      <c r="B50" s="49">
        <v>1462</v>
      </c>
      <c r="K50" s="1"/>
      <c r="L50" s="1"/>
      <c r="M50" s="1"/>
      <c r="N50" s="1"/>
      <c r="O50" s="1"/>
      <c r="P50" s="1"/>
    </row>
    <row r="51" spans="1:16">
      <c r="A51" s="1">
        <v>877</v>
      </c>
      <c r="B51" s="49">
        <v>1493</v>
      </c>
      <c r="K51" s="1"/>
      <c r="L51" s="1"/>
      <c r="M51" s="1"/>
      <c r="N51" s="1"/>
      <c r="O51" s="1"/>
      <c r="P51" s="1"/>
    </row>
    <row r="52" spans="1:16">
      <c r="A52" s="1">
        <v>905</v>
      </c>
      <c r="B52" s="49">
        <v>1522</v>
      </c>
      <c r="K52" s="1"/>
      <c r="L52" s="1"/>
      <c r="M52" s="1"/>
      <c r="N52" s="1"/>
      <c r="O52" s="1"/>
      <c r="P52" s="1"/>
    </row>
    <row r="53" spans="1:16">
      <c r="A53" s="1">
        <v>960</v>
      </c>
      <c r="B53" s="49">
        <v>1553</v>
      </c>
      <c r="K53" s="1"/>
      <c r="L53" s="1"/>
      <c r="M53" s="1"/>
      <c r="N53" s="1"/>
      <c r="O53" s="1"/>
      <c r="P53" s="1"/>
    </row>
    <row r="54" spans="1:16">
      <c r="A54" s="1">
        <v>1030</v>
      </c>
      <c r="B54" s="49">
        <v>1583</v>
      </c>
      <c r="K54" s="1"/>
      <c r="L54" s="1"/>
      <c r="M54" s="1"/>
      <c r="N54" s="1"/>
      <c r="O54" s="1"/>
      <c r="P54" s="1"/>
    </row>
    <row r="55" spans="1:16">
      <c r="A55" s="1">
        <v>1010</v>
      </c>
      <c r="B55" s="49">
        <v>1614</v>
      </c>
      <c r="K55" s="1"/>
      <c r="L55" s="1"/>
      <c r="M55" s="1"/>
      <c r="N55" s="1"/>
      <c r="O55" s="1"/>
      <c r="P55" s="1"/>
    </row>
    <row r="56" spans="1:16">
      <c r="A56" s="1">
        <v>1020</v>
      </c>
      <c r="B56" s="49">
        <v>1644</v>
      </c>
      <c r="K56" s="1"/>
      <c r="L56" s="1"/>
      <c r="M56" s="1"/>
      <c r="N56" s="1"/>
      <c r="O56" s="1"/>
      <c r="P56" s="1"/>
    </row>
    <row r="57" spans="1:16">
      <c r="A57" s="1">
        <v>1030</v>
      </c>
      <c r="B57" s="49">
        <v>1675</v>
      </c>
      <c r="K57" s="1"/>
      <c r="L57" s="1"/>
      <c r="M57" s="1"/>
      <c r="N57" s="1"/>
      <c r="O57" s="1"/>
      <c r="P57" s="1"/>
    </row>
    <row r="58" spans="1:16">
      <c r="A58" s="1">
        <v>1030</v>
      </c>
      <c r="B58" s="49">
        <v>1706</v>
      </c>
      <c r="C58" s="11"/>
      <c r="K58" s="1"/>
      <c r="L58" s="1"/>
      <c r="M58" s="1"/>
      <c r="N58" s="1"/>
      <c r="O58" s="1"/>
      <c r="P58" s="1"/>
    </row>
    <row r="59" spans="1:16">
      <c r="A59" s="1">
        <v>1030</v>
      </c>
      <c r="B59" s="49">
        <v>1736</v>
      </c>
      <c r="C59" s="11"/>
      <c r="K59" s="1"/>
      <c r="L59" s="1"/>
      <c r="M59" s="1"/>
      <c r="N59" s="1"/>
      <c r="O59" s="1"/>
      <c r="P59" s="1"/>
    </row>
    <row r="60" spans="1:16">
      <c r="A60" s="1">
        <v>1260</v>
      </c>
      <c r="B60" s="49">
        <v>1767</v>
      </c>
      <c r="K60" s="1"/>
      <c r="L60" s="1"/>
      <c r="M60" s="1"/>
      <c r="N60" s="1"/>
      <c r="O60" s="1"/>
      <c r="P60" s="1"/>
    </row>
    <row r="61" spans="1:16">
      <c r="A61" s="1">
        <v>1200</v>
      </c>
      <c r="B61" s="49">
        <v>1797</v>
      </c>
      <c r="K61" s="1"/>
      <c r="L61" s="1"/>
      <c r="M61" s="1"/>
      <c r="N61" s="1"/>
      <c r="O61" s="1"/>
      <c r="P61" s="1"/>
    </row>
    <row r="62" spans="1:16">
      <c r="A62" s="1">
        <v>1030</v>
      </c>
      <c r="B62" s="49">
        <v>1828</v>
      </c>
      <c r="K62" s="1"/>
      <c r="L62" s="1"/>
      <c r="M62" s="1"/>
      <c r="N62" s="1"/>
      <c r="O62" s="1"/>
      <c r="P62" s="1"/>
    </row>
    <row r="63" spans="1:16">
      <c r="A63" s="1">
        <v>1080</v>
      </c>
      <c r="B63" s="49">
        <v>1859</v>
      </c>
      <c r="K63" s="1"/>
      <c r="L63" s="1"/>
      <c r="M63" s="1"/>
      <c r="N63" s="1"/>
      <c r="O63" s="1"/>
      <c r="P63" s="1"/>
    </row>
    <row r="64" spans="1:16">
      <c r="A64" s="1">
        <v>1065</v>
      </c>
      <c r="B64" s="49">
        <v>1887</v>
      </c>
      <c r="K64" s="1"/>
      <c r="L64" s="1"/>
      <c r="M64" s="1"/>
      <c r="N64" s="1"/>
      <c r="O64" s="1"/>
      <c r="P64" s="1"/>
    </row>
    <row r="65" spans="1:16">
      <c r="A65" s="1">
        <v>1065</v>
      </c>
      <c r="B65" s="49">
        <v>1918</v>
      </c>
      <c r="K65" s="1"/>
      <c r="L65" s="1"/>
      <c r="M65" s="1"/>
      <c r="N65" s="1"/>
      <c r="O65" s="1"/>
      <c r="P65" s="1"/>
    </row>
    <row r="66" spans="1:16">
      <c r="A66" s="1">
        <v>1065</v>
      </c>
      <c r="B66" s="49">
        <v>1948</v>
      </c>
      <c r="K66" s="1"/>
      <c r="L66" s="1"/>
      <c r="M66" s="1"/>
      <c r="N66" s="1"/>
      <c r="O66" s="1"/>
      <c r="P66" s="1"/>
    </row>
    <row r="67" spans="1:16">
      <c r="A67" s="1">
        <v>1065</v>
      </c>
      <c r="B67" s="49">
        <v>1979</v>
      </c>
      <c r="K67" s="1"/>
      <c r="L67" s="1"/>
      <c r="M67" s="1"/>
      <c r="N67" s="1"/>
      <c r="O67" s="1"/>
      <c r="P67" s="1"/>
    </row>
    <row r="68" spans="1:16">
      <c r="A68" s="1">
        <v>1065</v>
      </c>
      <c r="B68" s="49">
        <v>2009</v>
      </c>
      <c r="K68" s="1"/>
      <c r="L68" s="1"/>
      <c r="M68" s="1"/>
      <c r="N68" s="1"/>
      <c r="O68" s="1"/>
      <c r="P68" s="1"/>
    </row>
    <row r="69" spans="1:16">
      <c r="A69" s="1">
        <v>1065</v>
      </c>
      <c r="B69" s="49">
        <v>2040</v>
      </c>
      <c r="K69" s="1"/>
      <c r="L69" s="1"/>
      <c r="M69" s="1"/>
      <c r="N69" s="1"/>
      <c r="O69" s="1"/>
      <c r="P69" s="1"/>
    </row>
    <row r="70" spans="1:16">
      <c r="A70" s="1">
        <v>1070</v>
      </c>
      <c r="B70" s="49">
        <v>2071</v>
      </c>
      <c r="K70" s="1"/>
      <c r="L70" s="1"/>
      <c r="M70" s="1"/>
      <c r="N70" s="1"/>
      <c r="O70" s="1"/>
      <c r="P70" s="1"/>
    </row>
    <row r="71" spans="1:16">
      <c r="A71" s="1">
        <v>1085</v>
      </c>
      <c r="B71" s="49">
        <v>2101</v>
      </c>
      <c r="K71" s="1"/>
      <c r="L71" s="1"/>
      <c r="M71" s="1"/>
      <c r="N71" s="1"/>
      <c r="O71" s="1"/>
      <c r="P71" s="1"/>
    </row>
    <row r="72" spans="1:16">
      <c r="A72" s="1">
        <v>1080</v>
      </c>
      <c r="B72" s="49">
        <v>2132</v>
      </c>
      <c r="K72" s="1"/>
      <c r="L72" s="1"/>
      <c r="M72" s="1"/>
      <c r="N72" s="1"/>
      <c r="O72" s="1"/>
      <c r="P72" s="1"/>
    </row>
    <row r="73" spans="1:16">
      <c r="A73" s="1">
        <v>1085</v>
      </c>
      <c r="B73" s="49">
        <v>2162</v>
      </c>
      <c r="K73" s="1"/>
      <c r="L73" s="1"/>
      <c r="M73" s="1"/>
      <c r="N73" s="1"/>
      <c r="O73" s="1"/>
      <c r="P73" s="1"/>
    </row>
    <row r="74" spans="1:16">
      <c r="A74" s="1">
        <v>1094</v>
      </c>
      <c r="B74" s="49">
        <v>2193</v>
      </c>
      <c r="K74" s="1"/>
      <c r="L74" s="1"/>
      <c r="M74" s="1"/>
      <c r="N74" s="1"/>
      <c r="O74" s="1"/>
      <c r="P74" s="1"/>
    </row>
    <row r="75" spans="1:16">
      <c r="A75" s="1">
        <v>1098</v>
      </c>
      <c r="B75" s="49">
        <v>2224</v>
      </c>
    </row>
    <row r="76" spans="1:16">
      <c r="A76" s="1">
        <v>1103</v>
      </c>
      <c r="B76" s="49">
        <v>2252</v>
      </c>
    </row>
    <row r="77" spans="1:16">
      <c r="A77" s="1">
        <v>1110</v>
      </c>
      <c r="B77" s="49">
        <v>2283</v>
      </c>
    </row>
    <row r="78" spans="1:16">
      <c r="A78" s="1">
        <v>1115</v>
      </c>
      <c r="B78" s="49">
        <v>2313</v>
      </c>
    </row>
    <row r="79" spans="1:16">
      <c r="A79" s="1">
        <v>1120</v>
      </c>
      <c r="B79" s="49">
        <v>2344</v>
      </c>
    </row>
    <row r="80" spans="1:16">
      <c r="A80" s="1">
        <v>1140</v>
      </c>
      <c r="B80" s="49">
        <v>2374</v>
      </c>
    </row>
    <row r="81" spans="1:2">
      <c r="A81" s="1">
        <v>1140</v>
      </c>
      <c r="B81" s="49">
        <v>2405</v>
      </c>
    </row>
    <row r="82" spans="1:2">
      <c r="A82" s="1">
        <v>1050</v>
      </c>
      <c r="B82" s="49">
        <v>2436</v>
      </c>
    </row>
    <row r="83" spans="1:2">
      <c r="A83" s="1">
        <v>1025</v>
      </c>
      <c r="B83" s="49">
        <v>2466</v>
      </c>
    </row>
    <row r="84" spans="1:2">
      <c r="A84" s="1">
        <v>1118</v>
      </c>
      <c r="B84" s="49">
        <v>2497</v>
      </c>
    </row>
    <row r="85" spans="1:2">
      <c r="A85" s="1">
        <v>1120</v>
      </c>
      <c r="B85" s="49">
        <v>2527</v>
      </c>
    </row>
    <row r="86" spans="1:2">
      <c r="A86" s="1">
        <v>1155</v>
      </c>
      <c r="B86" s="49">
        <v>2558</v>
      </c>
    </row>
    <row r="87" spans="1:2">
      <c r="A87" s="1">
        <v>1186</v>
      </c>
      <c r="B87" s="49">
        <v>2589</v>
      </c>
    </row>
    <row r="88" spans="1:2">
      <c r="A88" s="1">
        <v>1196</v>
      </c>
      <c r="B88" s="49">
        <v>2617</v>
      </c>
    </row>
    <row r="89" spans="1:2">
      <c r="A89" s="1">
        <v>1197</v>
      </c>
      <c r="B89" s="49">
        <v>2648</v>
      </c>
    </row>
    <row r="90" spans="1:2">
      <c r="A90" s="1">
        <v>1219</v>
      </c>
      <c r="B90" s="49">
        <v>2678</v>
      </c>
    </row>
    <row r="91" spans="1:2">
      <c r="A91" s="1">
        <v>1200</v>
      </c>
      <c r="B91" s="49">
        <v>2709</v>
      </c>
    </row>
    <row r="92" spans="1:2">
      <c r="A92" s="1">
        <v>1167</v>
      </c>
      <c r="B92" s="49">
        <v>2739</v>
      </c>
    </row>
    <row r="93" spans="1:2">
      <c r="A93" s="1">
        <v>1165</v>
      </c>
      <c r="B93" s="49">
        <v>2770</v>
      </c>
    </row>
    <row r="94" spans="1:2">
      <c r="A94" s="1">
        <v>1165</v>
      </c>
      <c r="B94" s="49">
        <v>2801</v>
      </c>
    </row>
    <row r="95" spans="1:2">
      <c r="A95" s="1">
        <v>1195</v>
      </c>
      <c r="B95" s="49">
        <v>2831</v>
      </c>
    </row>
    <row r="96" spans="1:2">
      <c r="A96" s="1">
        <v>1240</v>
      </c>
      <c r="B96" s="49">
        <v>2862</v>
      </c>
    </row>
    <row r="97" spans="1:6">
      <c r="A97" s="1">
        <v>1260</v>
      </c>
      <c r="B97" s="49">
        <v>2892</v>
      </c>
    </row>
    <row r="98" spans="1:6">
      <c r="A98" s="1">
        <v>1320</v>
      </c>
      <c r="B98" s="49">
        <v>2923</v>
      </c>
    </row>
    <row r="99" spans="1:6">
      <c r="A99" s="1">
        <v>1360</v>
      </c>
      <c r="B99" s="49">
        <v>2954</v>
      </c>
    </row>
    <row r="100" spans="1:6">
      <c r="A100" s="1">
        <v>1360</v>
      </c>
      <c r="B100" s="49">
        <v>2983</v>
      </c>
    </row>
    <row r="101" spans="1:6">
      <c r="A101" s="1">
        <v>1380</v>
      </c>
      <c r="B101" s="49">
        <v>3014</v>
      </c>
    </row>
    <row r="102" spans="1:6">
      <c r="A102" s="1">
        <v>1435</v>
      </c>
      <c r="B102" s="49">
        <v>3044</v>
      </c>
    </row>
    <row r="103" spans="1:6">
      <c r="A103" s="1">
        <v>1445</v>
      </c>
      <c r="B103" s="49">
        <v>3075</v>
      </c>
    </row>
    <row r="104" spans="1:6">
      <c r="A104" s="1">
        <v>1398</v>
      </c>
      <c r="B104" s="49">
        <v>3105</v>
      </c>
    </row>
    <row r="105" spans="1:6">
      <c r="A105" s="1">
        <v>1398</v>
      </c>
      <c r="B105" s="49">
        <v>3136</v>
      </c>
    </row>
    <row r="106" spans="1:6">
      <c r="A106" s="1">
        <v>1485</v>
      </c>
      <c r="B106" s="49">
        <v>3167</v>
      </c>
      <c r="D106" s="4"/>
      <c r="E106" s="4"/>
      <c r="F106" s="4"/>
    </row>
    <row r="107" spans="1:6">
      <c r="A107" s="1">
        <v>1565</v>
      </c>
      <c r="B107" s="49">
        <v>3197</v>
      </c>
      <c r="C107" s="4"/>
      <c r="D107" s="4"/>
      <c r="E107" s="4"/>
      <c r="F107" s="4"/>
    </row>
    <row r="108" spans="1:6">
      <c r="A108" s="1">
        <v>1635</v>
      </c>
      <c r="B108" s="49">
        <v>3228</v>
      </c>
    </row>
    <row r="109" spans="1:6">
      <c r="A109" s="1">
        <v>1660</v>
      </c>
      <c r="B109" s="49">
        <v>3258</v>
      </c>
    </row>
    <row r="110" spans="1:6">
      <c r="A110" s="1">
        <v>1740</v>
      </c>
      <c r="B110" s="49">
        <v>3289</v>
      </c>
    </row>
    <row r="111" spans="1:6">
      <c r="A111" s="1">
        <v>1813</v>
      </c>
      <c r="B111" s="49">
        <v>3320</v>
      </c>
    </row>
    <row r="112" spans="1:6">
      <c r="A112" s="1">
        <v>1661</v>
      </c>
      <c r="B112" s="49">
        <v>3348</v>
      </c>
    </row>
    <row r="113" spans="1:6">
      <c r="A113" s="1">
        <v>1696</v>
      </c>
      <c r="B113" s="49">
        <v>3379</v>
      </c>
    </row>
    <row r="114" spans="1:6">
      <c r="A114" s="1">
        <v>1761</v>
      </c>
      <c r="B114" s="49">
        <v>3409</v>
      </c>
      <c r="C114" s="4"/>
      <c r="D114" s="4"/>
      <c r="E114" s="4"/>
      <c r="F114" s="4"/>
    </row>
    <row r="115" spans="1:6">
      <c r="A115" s="1">
        <v>1530</v>
      </c>
      <c r="B115" s="49">
        <v>3440</v>
      </c>
      <c r="D115" s="4"/>
    </row>
    <row r="116" spans="1:6">
      <c r="A116" s="1">
        <v>1530</v>
      </c>
      <c r="B116" s="49">
        <v>3470</v>
      </c>
      <c r="C116" s="4"/>
      <c r="D116" s="4"/>
      <c r="E116" s="4"/>
      <c r="F116" s="4"/>
    </row>
    <row r="117" spans="1:6">
      <c r="A117" s="1">
        <v>1522</v>
      </c>
      <c r="B117" s="49">
        <v>3501</v>
      </c>
      <c r="D117" s="4"/>
      <c r="E117" s="4"/>
      <c r="F117" s="4"/>
    </row>
    <row r="118" spans="1:6">
      <c r="A118" s="1">
        <v>1442</v>
      </c>
      <c r="B118" s="49">
        <v>3532</v>
      </c>
      <c r="D118" s="4"/>
      <c r="E118" s="4"/>
      <c r="F118" s="4"/>
    </row>
    <row r="119" spans="1:6">
      <c r="A119" s="1">
        <v>1540</v>
      </c>
      <c r="B119" s="49">
        <v>3562</v>
      </c>
      <c r="C119" s="4"/>
      <c r="D119" s="4"/>
      <c r="E119" s="4"/>
      <c r="F119" s="4"/>
    </row>
    <row r="120" spans="1:6">
      <c r="A120" s="1">
        <v>1628</v>
      </c>
      <c r="B120" s="49">
        <v>3593</v>
      </c>
    </row>
    <row r="121" spans="1:6">
      <c r="A121" s="1">
        <v>1661</v>
      </c>
      <c r="B121" s="49">
        <v>3623</v>
      </c>
    </row>
    <row r="122" spans="1:6">
      <c r="A122" s="1">
        <v>1545</v>
      </c>
      <c r="B122" s="49">
        <v>3654</v>
      </c>
    </row>
    <row r="123" spans="1:6">
      <c r="A123" s="1">
        <v>1510</v>
      </c>
      <c r="B123" s="49">
        <v>3685</v>
      </c>
    </row>
    <row r="124" spans="1:6">
      <c r="A124" s="1">
        <v>1462</v>
      </c>
      <c r="B124" s="49">
        <v>3713</v>
      </c>
    </row>
    <row r="125" spans="1:6">
      <c r="A125" s="1">
        <v>1447</v>
      </c>
      <c r="B125" s="49">
        <v>3744</v>
      </c>
    </row>
    <row r="126" spans="1:6">
      <c r="A126" s="1">
        <v>1467</v>
      </c>
      <c r="B126" s="49">
        <v>3774</v>
      </c>
    </row>
    <row r="127" spans="1:6">
      <c r="A127" s="1">
        <v>1330</v>
      </c>
      <c r="B127" s="49">
        <v>3805</v>
      </c>
    </row>
    <row r="128" spans="1:6">
      <c r="A128" s="1">
        <v>1307</v>
      </c>
      <c r="B128" s="49">
        <v>3835</v>
      </c>
    </row>
    <row r="129" spans="1:2">
      <c r="A129" s="1">
        <v>1332</v>
      </c>
      <c r="B129" s="49">
        <v>3866</v>
      </c>
    </row>
    <row r="130" spans="1:2">
      <c r="A130" s="1">
        <v>1337</v>
      </c>
      <c r="B130" s="49">
        <v>3897</v>
      </c>
    </row>
    <row r="131" spans="1:2">
      <c r="A131" s="1">
        <v>1290</v>
      </c>
      <c r="B131" s="49">
        <v>3927</v>
      </c>
    </row>
    <row r="132" spans="1:2">
      <c r="A132" s="1">
        <v>1302</v>
      </c>
      <c r="B132" s="49">
        <v>3958</v>
      </c>
    </row>
    <row r="133" spans="1:2">
      <c r="A133" s="1">
        <v>1275</v>
      </c>
      <c r="B133" s="49">
        <v>3988</v>
      </c>
    </row>
    <row r="134" spans="1:2">
      <c r="A134" s="1">
        <v>1252</v>
      </c>
      <c r="B134" s="49">
        <v>4019</v>
      </c>
    </row>
    <row r="135" spans="1:2">
      <c r="A135" s="1">
        <v>1255</v>
      </c>
      <c r="B135" s="49">
        <v>4050</v>
      </c>
    </row>
    <row r="136" spans="1:2">
      <c r="A136" s="1">
        <v>1330</v>
      </c>
      <c r="B136" s="49">
        <v>4078</v>
      </c>
    </row>
    <row r="137" spans="1:2">
      <c r="A137" s="1">
        <v>1275</v>
      </c>
      <c r="B137" s="49">
        <v>4109</v>
      </c>
    </row>
    <row r="138" spans="1:2">
      <c r="A138" s="1">
        <v>1250</v>
      </c>
      <c r="B138" s="49">
        <v>4139</v>
      </c>
    </row>
    <row r="139" spans="1:2">
      <c r="A139" s="1">
        <v>1230</v>
      </c>
      <c r="B139" s="49">
        <v>4170</v>
      </c>
    </row>
    <row r="140" spans="1:2">
      <c r="A140" s="1">
        <v>1200</v>
      </c>
      <c r="B140" s="49">
        <v>4200</v>
      </c>
    </row>
    <row r="141" spans="1:2">
      <c r="A141" s="1">
        <v>1165</v>
      </c>
      <c r="B141" s="49">
        <v>4231</v>
      </c>
    </row>
    <row r="142" spans="1:2">
      <c r="A142" s="1">
        <v>1170</v>
      </c>
      <c r="B142" s="49">
        <v>4262</v>
      </c>
    </row>
    <row r="143" spans="1:2">
      <c r="A143" s="1">
        <v>1120</v>
      </c>
      <c r="B143" s="49">
        <v>4292</v>
      </c>
    </row>
    <row r="144" spans="1:2">
      <c r="A144" s="1">
        <v>1157</v>
      </c>
      <c r="B144" s="49">
        <v>4323</v>
      </c>
    </row>
    <row r="145" spans="1:2">
      <c r="A145" s="1">
        <v>1217</v>
      </c>
      <c r="B145" s="49">
        <v>4353</v>
      </c>
    </row>
    <row r="146" spans="1:2">
      <c r="A146" s="1">
        <v>1368</v>
      </c>
      <c r="B146" s="49">
        <v>4384</v>
      </c>
    </row>
    <row r="147" spans="1:2">
      <c r="A147" s="1">
        <v>1600</v>
      </c>
      <c r="B147" s="49">
        <v>4415</v>
      </c>
    </row>
    <row r="148" spans="1:2">
      <c r="A148" s="1">
        <v>1700</v>
      </c>
      <c r="B148" s="49">
        <v>4444</v>
      </c>
    </row>
    <row r="149" spans="1:2">
      <c r="A149" s="1">
        <v>1590</v>
      </c>
      <c r="B149" s="49">
        <v>4475</v>
      </c>
    </row>
    <row r="150" spans="1:2">
      <c r="A150" s="1">
        <v>1590</v>
      </c>
      <c r="B150" s="49">
        <v>4505</v>
      </c>
    </row>
    <row r="151" spans="1:2">
      <c r="A151" s="1">
        <v>1485</v>
      </c>
      <c r="B151" s="49">
        <v>4536</v>
      </c>
    </row>
    <row r="152" spans="1:2">
      <c r="A152" s="1">
        <v>1485</v>
      </c>
      <c r="B152" s="49">
        <v>4566</v>
      </c>
    </row>
    <row r="153" spans="1:2">
      <c r="A153" s="1">
        <v>1495</v>
      </c>
      <c r="B153" s="49">
        <v>4597</v>
      </c>
    </row>
    <row r="154" spans="1:2">
      <c r="A154" s="1">
        <v>1500</v>
      </c>
      <c r="B154" s="49">
        <v>4628</v>
      </c>
    </row>
    <row r="155" spans="1:2">
      <c r="A155" s="1">
        <v>1500</v>
      </c>
      <c r="B155" s="49">
        <v>4658</v>
      </c>
    </row>
    <row r="156" spans="1:2">
      <c r="A156" s="1">
        <v>1490</v>
      </c>
      <c r="B156" s="49">
        <v>4689</v>
      </c>
    </row>
    <row r="157" spans="1:2">
      <c r="A157" s="1">
        <v>1495</v>
      </c>
      <c r="B157" s="49">
        <v>4719</v>
      </c>
    </row>
    <row r="158" spans="1:2">
      <c r="A158" s="1">
        <v>1506</v>
      </c>
      <c r="B158" s="49">
        <v>4750</v>
      </c>
    </row>
    <row r="159" spans="1:2">
      <c r="A159" s="1">
        <v>1507</v>
      </c>
      <c r="B159" s="49">
        <v>4781</v>
      </c>
    </row>
    <row r="160" spans="1:2">
      <c r="A160" s="1">
        <v>1503</v>
      </c>
      <c r="B160" s="49">
        <v>4809</v>
      </c>
    </row>
    <row r="161" spans="1:2">
      <c r="A161" s="1">
        <v>1503</v>
      </c>
      <c r="B161" s="49">
        <v>4840</v>
      </c>
    </row>
    <row r="162" spans="1:2">
      <c r="A162" s="1">
        <v>1503</v>
      </c>
      <c r="B162" s="49">
        <v>4870</v>
      </c>
    </row>
    <row r="163" spans="1:2">
      <c r="A163" s="1">
        <v>1500</v>
      </c>
      <c r="B163" s="49">
        <v>4901</v>
      </c>
    </row>
    <row r="164" spans="1:2">
      <c r="A164" s="1">
        <v>1520</v>
      </c>
      <c r="B164" s="49">
        <v>4931</v>
      </c>
    </row>
    <row r="165" spans="1:2">
      <c r="A165" s="1">
        <v>1500</v>
      </c>
      <c r="B165" s="49">
        <v>4962</v>
      </c>
    </row>
    <row r="166" spans="1:2">
      <c r="A166" s="1">
        <v>1575</v>
      </c>
      <c r="B166" s="49">
        <v>4993</v>
      </c>
    </row>
    <row r="167" spans="1:2">
      <c r="A167" s="1">
        <v>1575</v>
      </c>
      <c r="B167" s="49">
        <v>5023</v>
      </c>
    </row>
    <row r="168" spans="1:2">
      <c r="A168" s="1">
        <v>1595</v>
      </c>
      <c r="B168" s="49">
        <v>5054</v>
      </c>
    </row>
    <row r="169" spans="1:2">
      <c r="A169" s="1">
        <v>1660</v>
      </c>
      <c r="B169" s="49">
        <v>5084</v>
      </c>
    </row>
    <row r="170" spans="1:2">
      <c r="A170" s="1">
        <v>1745</v>
      </c>
      <c r="B170" s="49">
        <v>5115</v>
      </c>
    </row>
    <row r="171" spans="1:2">
      <c r="A171" s="1">
        <v>1785</v>
      </c>
      <c r="B171" s="49">
        <v>5146</v>
      </c>
    </row>
    <row r="172" spans="1:2">
      <c r="A172" s="1">
        <v>1825</v>
      </c>
      <c r="B172" s="49">
        <v>5174</v>
      </c>
    </row>
    <row r="173" spans="1:2">
      <c r="A173" s="1">
        <v>1892</v>
      </c>
      <c r="B173" s="49">
        <v>5205</v>
      </c>
    </row>
    <row r="174" spans="1:2">
      <c r="A174" s="1">
        <v>1945</v>
      </c>
      <c r="B174" s="49">
        <v>5235</v>
      </c>
    </row>
    <row r="175" spans="1:2">
      <c r="A175" s="1">
        <v>2002</v>
      </c>
      <c r="B175" s="49">
        <v>5266</v>
      </c>
    </row>
    <row r="176" spans="1:2">
      <c r="A176" s="1">
        <v>2116</v>
      </c>
      <c r="B176" s="49">
        <v>5296</v>
      </c>
    </row>
    <row r="177" spans="1:2">
      <c r="A177" s="1">
        <v>2200</v>
      </c>
      <c r="B177" s="49">
        <v>5327</v>
      </c>
    </row>
    <row r="178" spans="1:2">
      <c r="A178" s="1">
        <v>2290</v>
      </c>
      <c r="B178" s="49">
        <v>5358</v>
      </c>
    </row>
    <row r="179" spans="1:2">
      <c r="A179" s="1">
        <v>2300</v>
      </c>
      <c r="B179" s="49">
        <v>5388</v>
      </c>
    </row>
    <row r="180" spans="1:2">
      <c r="A180" s="1">
        <v>2300</v>
      </c>
      <c r="B180" s="49">
        <v>5419</v>
      </c>
    </row>
    <row r="181" spans="1:2">
      <c r="A181" s="1">
        <v>2300</v>
      </c>
      <c r="B181" s="49">
        <v>5449</v>
      </c>
    </row>
    <row r="182" spans="1:2">
      <c r="A182" s="1">
        <v>3675</v>
      </c>
      <c r="B182" s="49">
        <v>5480</v>
      </c>
    </row>
    <row r="183" spans="1:2">
      <c r="A183" s="1">
        <v>3675</v>
      </c>
      <c r="B183" s="49">
        <v>5511</v>
      </c>
    </row>
    <row r="184" spans="1:2">
      <c r="A184" s="1">
        <v>3590</v>
      </c>
      <c r="B184" s="49">
        <v>5539</v>
      </c>
    </row>
    <row r="185" spans="1:2">
      <c r="A185" s="1">
        <v>3782</v>
      </c>
      <c r="B185" s="49">
        <v>5570</v>
      </c>
    </row>
    <row r="186" spans="1:2">
      <c r="A186" s="1">
        <v>3700</v>
      </c>
      <c r="B186" s="49">
        <v>5600</v>
      </c>
    </row>
    <row r="187" spans="1:2">
      <c r="A187" s="1">
        <v>3990</v>
      </c>
      <c r="B187" s="49">
        <v>5631</v>
      </c>
    </row>
    <row r="188" spans="1:2">
      <c r="A188" s="1">
        <v>4215</v>
      </c>
      <c r="B188" s="49">
        <v>5661</v>
      </c>
    </row>
    <row r="189" spans="1:2">
      <c r="A189" s="1">
        <v>4240</v>
      </c>
      <c r="B189" s="49">
        <v>5692</v>
      </c>
    </row>
    <row r="190" spans="1:2">
      <c r="A190" s="1">
        <v>3757</v>
      </c>
      <c r="B190" s="49">
        <v>5723</v>
      </c>
    </row>
    <row r="191" spans="1:2">
      <c r="A191" s="1">
        <v>4045</v>
      </c>
      <c r="B191" s="49">
        <v>5753</v>
      </c>
    </row>
    <row r="192" spans="1:2">
      <c r="A192" s="1">
        <v>3952</v>
      </c>
      <c r="B192" s="49">
        <v>5784</v>
      </c>
    </row>
    <row r="193" spans="1:2">
      <c r="A193" s="1">
        <v>3935</v>
      </c>
      <c r="B193" s="49">
        <v>5814</v>
      </c>
    </row>
    <row r="194" spans="1:2">
      <c r="A194" s="1">
        <v>3954</v>
      </c>
      <c r="B194" s="49">
        <v>5845</v>
      </c>
    </row>
    <row r="195" spans="1:2">
      <c r="A195" s="1">
        <v>4023</v>
      </c>
      <c r="B195" s="49">
        <v>5876</v>
      </c>
    </row>
    <row r="196" spans="1:2">
      <c r="A196" s="1">
        <v>3580</v>
      </c>
      <c r="B196" s="49">
        <v>5905</v>
      </c>
    </row>
    <row r="197" spans="1:2">
      <c r="A197" s="1">
        <v>3450</v>
      </c>
      <c r="B197" s="49">
        <v>5936</v>
      </c>
    </row>
    <row r="198" spans="1:2">
      <c r="A198" s="1">
        <v>3040</v>
      </c>
      <c r="B198" s="49">
        <v>5966</v>
      </c>
    </row>
    <row r="199" spans="1:2">
      <c r="A199" s="1">
        <v>2725</v>
      </c>
      <c r="B199" s="49">
        <v>5997</v>
      </c>
    </row>
    <row r="200" spans="1:2">
      <c r="A200" s="1">
        <v>2725</v>
      </c>
      <c r="B200" s="49">
        <v>6027</v>
      </c>
    </row>
    <row r="201" spans="1:2">
      <c r="A201" s="1">
        <v>2703</v>
      </c>
      <c r="B201" s="49">
        <v>6058</v>
      </c>
    </row>
    <row r="202" spans="1:2">
      <c r="A202" s="1">
        <v>2796</v>
      </c>
      <c r="B202" s="49">
        <v>6089</v>
      </c>
    </row>
    <row r="203" spans="1:2">
      <c r="A203" s="1">
        <v>3000</v>
      </c>
      <c r="B203" s="49">
        <v>6119</v>
      </c>
    </row>
    <row r="204" spans="1:2">
      <c r="A204" s="1">
        <v>3250</v>
      </c>
      <c r="B204" s="49">
        <v>6150</v>
      </c>
    </row>
    <row r="205" spans="1:2">
      <c r="A205" s="1">
        <v>3365</v>
      </c>
      <c r="B205" s="49">
        <v>6180</v>
      </c>
    </row>
    <row r="206" spans="1:2">
      <c r="A206" s="1">
        <v>3585</v>
      </c>
      <c r="B206" s="49">
        <v>6211</v>
      </c>
    </row>
    <row r="207" spans="1:2">
      <c r="A207" s="1">
        <v>3840</v>
      </c>
      <c r="B207" s="49">
        <v>6242</v>
      </c>
    </row>
    <row r="208" spans="1:2">
      <c r="A208" s="1">
        <v>3711</v>
      </c>
      <c r="B208" s="49">
        <v>6270</v>
      </c>
    </row>
    <row r="209" spans="1:2">
      <c r="A209" s="1">
        <v>3545</v>
      </c>
      <c r="B209" s="49">
        <v>6301</v>
      </c>
    </row>
    <row r="210" spans="1:2">
      <c r="A210" s="1">
        <v>3510</v>
      </c>
      <c r="B210" s="49">
        <v>6331</v>
      </c>
    </row>
    <row r="211" spans="1:2">
      <c r="A211" s="1">
        <v>3420</v>
      </c>
      <c r="B211" s="49">
        <v>6362</v>
      </c>
    </row>
    <row r="212" spans="1:2">
      <c r="A212" s="1">
        <v>3511</v>
      </c>
      <c r="B212" s="49">
        <v>6392</v>
      </c>
    </row>
    <row r="213" spans="1:2">
      <c r="A213" s="1">
        <v>3556</v>
      </c>
      <c r="B213" s="49">
        <v>6423</v>
      </c>
    </row>
    <row r="214" spans="1:2">
      <c r="A214" s="1">
        <v>3590</v>
      </c>
      <c r="B214" s="49">
        <v>6454</v>
      </c>
    </row>
    <row r="215" spans="1:2">
      <c r="A215" s="1">
        <v>3558</v>
      </c>
      <c r="B215" s="49">
        <v>6484</v>
      </c>
    </row>
    <row r="216" spans="1:2">
      <c r="A216" s="1">
        <v>3487</v>
      </c>
      <c r="B216" s="49">
        <v>6515</v>
      </c>
    </row>
    <row r="217" spans="1:2">
      <c r="A217" s="1">
        <v>3431</v>
      </c>
      <c r="B217" s="49">
        <v>6545</v>
      </c>
    </row>
    <row r="218" spans="1:2">
      <c r="A218" s="1">
        <v>3500</v>
      </c>
      <c r="B218" s="49">
        <v>6576</v>
      </c>
    </row>
    <row r="219" spans="1:2">
      <c r="A219" s="1">
        <v>3500</v>
      </c>
      <c r="B219" s="49">
        <v>6607</v>
      </c>
    </row>
    <row r="220" spans="1:2">
      <c r="A220" s="1">
        <v>3500</v>
      </c>
      <c r="B220" s="49">
        <v>6635</v>
      </c>
    </row>
    <row r="221" spans="1:2">
      <c r="A221" s="1">
        <v>3500</v>
      </c>
      <c r="B221" s="49">
        <v>6666</v>
      </c>
    </row>
    <row r="222" spans="1:2">
      <c r="A222" s="1">
        <v>3408</v>
      </c>
      <c r="B222" s="49">
        <v>6696</v>
      </c>
    </row>
    <row r="223" spans="1:2">
      <c r="A223" s="1">
        <v>2600</v>
      </c>
      <c r="B223" s="49">
        <v>6727</v>
      </c>
    </row>
    <row r="224" spans="1:2">
      <c r="A224" s="1">
        <v>2720</v>
      </c>
      <c r="B224" s="49">
        <v>6757</v>
      </c>
    </row>
    <row r="225" spans="1:2">
      <c r="A225" s="1">
        <v>2700</v>
      </c>
      <c r="B225" s="49">
        <v>6788</v>
      </c>
    </row>
    <row r="226" spans="1:2">
      <c r="A226" s="1">
        <v>2600</v>
      </c>
      <c r="B226" s="49">
        <v>6819</v>
      </c>
    </row>
    <row r="227" spans="1:2">
      <c r="A227" s="1">
        <v>2520</v>
      </c>
      <c r="B227" s="49">
        <v>6849</v>
      </c>
    </row>
    <row r="228" spans="1:2">
      <c r="A228" s="1">
        <v>2500</v>
      </c>
      <c r="B228" s="49">
        <v>6880</v>
      </c>
    </row>
    <row r="229" spans="1:2">
      <c r="A229" s="1">
        <v>2272</v>
      </c>
      <c r="B229" s="49">
        <v>6910</v>
      </c>
    </row>
    <row r="230" spans="1:2">
      <c r="A230" s="1">
        <v>1616</v>
      </c>
      <c r="B230" s="49">
        <v>6941</v>
      </c>
    </row>
    <row r="231" spans="1:2">
      <c r="A231" s="1">
        <v>1860</v>
      </c>
      <c r="B231" s="49">
        <v>6972</v>
      </c>
    </row>
    <row r="232" spans="1:2">
      <c r="A232" s="1">
        <v>1870</v>
      </c>
      <c r="B232" s="49">
        <v>7000</v>
      </c>
    </row>
    <row r="233" spans="1:2">
      <c r="A233" s="1">
        <v>1760</v>
      </c>
      <c r="B233" s="49">
        <v>7031</v>
      </c>
    </row>
    <row r="234" spans="1:2">
      <c r="A234" s="1">
        <v>1760</v>
      </c>
      <c r="B234" s="49">
        <v>7061</v>
      </c>
    </row>
    <row r="235" spans="1:2">
      <c r="A235" s="1">
        <v>1930</v>
      </c>
      <c r="B235" s="49">
        <v>7092</v>
      </c>
    </row>
    <row r="236" spans="1:2">
      <c r="A236" s="1">
        <v>1900</v>
      </c>
      <c r="B236" s="49">
        <v>7122</v>
      </c>
    </row>
    <row r="237" spans="1:2">
      <c r="A237" s="1">
        <v>1900</v>
      </c>
      <c r="B237" s="49">
        <v>7153</v>
      </c>
    </row>
    <row r="238" spans="1:2">
      <c r="A238" s="1">
        <v>1950</v>
      </c>
      <c r="B238" s="49">
        <v>7184</v>
      </c>
    </row>
    <row r="239" spans="1:2">
      <c r="A239" s="1">
        <v>1880</v>
      </c>
      <c r="B239" s="49">
        <v>7214</v>
      </c>
    </row>
    <row r="240" spans="1:2">
      <c r="A240" s="1">
        <v>1960</v>
      </c>
      <c r="B240" s="49">
        <v>7245</v>
      </c>
    </row>
    <row r="241" spans="1:2">
      <c r="A241" s="1">
        <v>1930</v>
      </c>
      <c r="B241" s="49">
        <v>7275</v>
      </c>
    </row>
    <row r="242" spans="1:2">
      <c r="A242" s="1">
        <v>2100</v>
      </c>
      <c r="B242" s="49">
        <v>7306</v>
      </c>
    </row>
    <row r="243" spans="1:2">
      <c r="A243" s="1">
        <v>2636</v>
      </c>
      <c r="B243" s="49">
        <v>7337</v>
      </c>
    </row>
    <row r="244" spans="1:2">
      <c r="A244" s="1">
        <v>2659</v>
      </c>
      <c r="B244" s="49">
        <v>7366</v>
      </c>
    </row>
    <row r="245" spans="1:2">
      <c r="A245" s="1">
        <v>2636</v>
      </c>
      <c r="B245" s="49">
        <v>7397</v>
      </c>
    </row>
    <row r="246" spans="1:2">
      <c r="A246" s="1">
        <v>2732</v>
      </c>
      <c r="B246" s="49">
        <v>7427</v>
      </c>
    </row>
    <row r="247" spans="1:2">
      <c r="A247" s="1">
        <v>2800</v>
      </c>
      <c r="B247" s="49">
        <v>7458</v>
      </c>
    </row>
    <row r="248" spans="1:2">
      <c r="A248" s="1">
        <v>2863</v>
      </c>
      <c r="B248" s="49">
        <v>7488</v>
      </c>
    </row>
    <row r="249" spans="1:2">
      <c r="A249" s="1">
        <v>2636</v>
      </c>
      <c r="B249" s="49">
        <v>7519</v>
      </c>
    </row>
    <row r="250" spans="1:2">
      <c r="A250" s="1">
        <v>2661</v>
      </c>
      <c r="B250" s="49">
        <v>7550</v>
      </c>
    </row>
    <row r="251" spans="1:2">
      <c r="A251" s="1">
        <v>2682</v>
      </c>
      <c r="B251" s="49">
        <v>7580</v>
      </c>
    </row>
    <row r="252" spans="1:2">
      <c r="A252" s="1">
        <v>2732</v>
      </c>
      <c r="B252" s="49">
        <v>7611</v>
      </c>
    </row>
    <row r="253" spans="1:2">
      <c r="A253" s="1">
        <v>2863</v>
      </c>
      <c r="B253" s="49">
        <v>7641</v>
      </c>
    </row>
    <row r="254" spans="1:2">
      <c r="A254" s="1">
        <v>3181</v>
      </c>
      <c r="B254" s="49">
        <v>7672</v>
      </c>
    </row>
    <row r="255" spans="1:2">
      <c r="A255" s="1">
        <v>3410</v>
      </c>
      <c r="B255" s="49">
        <v>7703</v>
      </c>
    </row>
    <row r="256" spans="1:2">
      <c r="A256" s="1">
        <v>3220</v>
      </c>
      <c r="B256" s="49">
        <v>7731</v>
      </c>
    </row>
    <row r="257" spans="1:2">
      <c r="A257" s="1">
        <v>3270</v>
      </c>
      <c r="B257" s="49">
        <v>7762</v>
      </c>
    </row>
    <row r="258" spans="1:2">
      <c r="A258" s="1">
        <v>3410</v>
      </c>
      <c r="B258" s="49">
        <v>7792</v>
      </c>
    </row>
    <row r="259" spans="1:2">
      <c r="A259" s="1">
        <v>3454</v>
      </c>
      <c r="B259" s="49">
        <v>7823</v>
      </c>
    </row>
    <row r="260" spans="1:2">
      <c r="A260" s="1">
        <v>3454</v>
      </c>
      <c r="B260" s="49">
        <v>7853</v>
      </c>
    </row>
    <row r="261" spans="1:2">
      <c r="A261" s="1">
        <v>3477</v>
      </c>
      <c r="B261" s="49">
        <v>7884</v>
      </c>
    </row>
    <row r="262" spans="1:2">
      <c r="A262" s="1">
        <v>3638</v>
      </c>
      <c r="B262" s="49">
        <v>7915</v>
      </c>
    </row>
    <row r="263" spans="1:2">
      <c r="A263" s="1">
        <v>3963</v>
      </c>
      <c r="B263" s="49">
        <v>7945</v>
      </c>
    </row>
    <row r="264" spans="1:2">
      <c r="A264" s="1">
        <v>3818</v>
      </c>
      <c r="B264" s="49">
        <v>7976</v>
      </c>
    </row>
    <row r="265" spans="1:2">
      <c r="A265" s="1">
        <v>4147</v>
      </c>
      <c r="B265" s="49">
        <v>8006</v>
      </c>
    </row>
    <row r="266" spans="1:2">
      <c r="A266" s="1">
        <v>4034</v>
      </c>
      <c r="B266" s="49">
        <v>8037</v>
      </c>
    </row>
    <row r="267" spans="1:2">
      <c r="A267" s="1">
        <v>4090</v>
      </c>
      <c r="B267" s="49">
        <v>8068</v>
      </c>
    </row>
    <row r="268" spans="1:2">
      <c r="A268" s="1">
        <v>4090</v>
      </c>
      <c r="B268" s="49">
        <v>8096</v>
      </c>
    </row>
    <row r="269" spans="1:2">
      <c r="A269" s="1">
        <v>4090</v>
      </c>
      <c r="B269" s="49">
        <v>8127</v>
      </c>
    </row>
    <row r="270" spans="1:2">
      <c r="A270" s="1">
        <v>4068</v>
      </c>
      <c r="B270" s="49">
        <v>8157</v>
      </c>
    </row>
    <row r="271" spans="1:2">
      <c r="A271" s="1">
        <v>4272</v>
      </c>
      <c r="B271" s="49">
        <v>8188</v>
      </c>
    </row>
    <row r="272" spans="1:2">
      <c r="A272" s="1">
        <v>4272</v>
      </c>
      <c r="B272" s="49">
        <v>8218</v>
      </c>
    </row>
    <row r="273" spans="1:2">
      <c r="A273" s="1">
        <v>4363</v>
      </c>
      <c r="B273" s="49">
        <v>8249</v>
      </c>
    </row>
    <row r="274" spans="1:2">
      <c r="A274" s="1">
        <v>4341</v>
      </c>
      <c r="B274" s="49">
        <v>8280</v>
      </c>
    </row>
    <row r="275" spans="1:2">
      <c r="A275" s="1">
        <v>4310</v>
      </c>
      <c r="B275" s="49">
        <v>8310</v>
      </c>
    </row>
    <row r="276" spans="1:2">
      <c r="A276" s="1">
        <v>4310</v>
      </c>
      <c r="B276" s="49">
        <v>8341</v>
      </c>
    </row>
    <row r="277" spans="1:2">
      <c r="A277" s="1">
        <v>4310</v>
      </c>
      <c r="B277" s="49">
        <v>8371</v>
      </c>
    </row>
    <row r="278" spans="1:2">
      <c r="A278" s="1">
        <v>4261</v>
      </c>
      <c r="B278" s="49">
        <v>8402</v>
      </c>
    </row>
    <row r="279" spans="1:2">
      <c r="A279" s="1">
        <v>4261</v>
      </c>
      <c r="B279" s="49">
        <v>8767</v>
      </c>
    </row>
    <row r="280" spans="1:2">
      <c r="A280" s="1">
        <v>4261</v>
      </c>
      <c r="B280" s="49">
        <v>9133</v>
      </c>
    </row>
    <row r="281" spans="1:2">
      <c r="A281" s="1">
        <v>4261</v>
      </c>
      <c r="B281" s="49">
        <v>9498</v>
      </c>
    </row>
    <row r="282" spans="1:2">
      <c r="A282" s="1">
        <v>4261</v>
      </c>
      <c r="B282" s="49">
        <v>9863</v>
      </c>
    </row>
    <row r="283" spans="1:2">
      <c r="A283" s="1">
        <v>4261</v>
      </c>
      <c r="B283" s="49">
        <v>10228</v>
      </c>
    </row>
    <row r="284" spans="1:2">
      <c r="A284" s="1">
        <v>4261</v>
      </c>
      <c r="B284" s="49">
        <v>10594</v>
      </c>
    </row>
    <row r="285" spans="1:2">
      <c r="A285" s="1">
        <v>4261</v>
      </c>
      <c r="B285" s="49">
        <v>10959</v>
      </c>
    </row>
    <row r="286" spans="1:2">
      <c r="A286" s="1">
        <v>4261</v>
      </c>
      <c r="B286" s="49">
        <v>11324</v>
      </c>
    </row>
    <row r="287" spans="1:2">
      <c r="A287" s="1">
        <v>4432</v>
      </c>
      <c r="B287" s="49">
        <v>11689</v>
      </c>
    </row>
    <row r="288" spans="1:2">
      <c r="A288" s="1">
        <v>6363</v>
      </c>
      <c r="B288" s="49">
        <v>12055</v>
      </c>
    </row>
    <row r="289" spans="1:2">
      <c r="A289" s="1">
        <v>15682</v>
      </c>
      <c r="B289" s="49">
        <v>12420</v>
      </c>
    </row>
    <row r="290" spans="1:2">
      <c r="A290" s="1">
        <v>20455</v>
      </c>
      <c r="B290" s="49">
        <v>12785</v>
      </c>
    </row>
    <row r="291" spans="1:2">
      <c r="A291" s="1">
        <v>18409</v>
      </c>
      <c r="B291" s="49">
        <v>13150</v>
      </c>
    </row>
    <row r="292" spans="1:2">
      <c r="A292" s="1">
        <v>15989</v>
      </c>
      <c r="B292" s="49">
        <v>13516</v>
      </c>
    </row>
    <row r="293" spans="1:2">
      <c r="A293" s="1">
        <v>16659</v>
      </c>
      <c r="B293" s="49">
        <v>13881</v>
      </c>
    </row>
    <row r="294" spans="1:2">
      <c r="A294" s="1">
        <v>16636</v>
      </c>
      <c r="B294" s="49">
        <v>14246</v>
      </c>
    </row>
    <row r="295" spans="1:2">
      <c r="A295" s="1">
        <v>18909</v>
      </c>
      <c r="B295" s="49">
        <v>14611</v>
      </c>
    </row>
    <row r="296" spans="1:2">
      <c r="A296" s="1">
        <v>17500</v>
      </c>
      <c r="B296" s="49">
        <v>14977</v>
      </c>
    </row>
    <row r="297" spans="1:2">
      <c r="A297" s="1">
        <v>17500</v>
      </c>
      <c r="B297" s="49">
        <v>15342</v>
      </c>
    </row>
    <row r="298" spans="1:2">
      <c r="A298" s="1">
        <v>17500</v>
      </c>
      <c r="B298" s="49">
        <v>15707</v>
      </c>
    </row>
    <row r="299" spans="1:2"/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377"/>
  <sheetViews>
    <sheetView workbookViewId="0"/>
  </sheetViews>
  <sheetFormatPr defaultColWidth="12.6640625" defaultRowHeight="15.75" customHeight="1"/>
  <cols>
    <col min="16" max="16" width="25.109375" customWidth="1"/>
    <col min="17" max="17" width="36.33203125" customWidth="1"/>
    <col min="18" max="18" width="14" customWidth="1"/>
  </cols>
  <sheetData>
    <row r="1" spans="1:30">
      <c r="A1" s="1" t="s">
        <v>37</v>
      </c>
      <c r="F1" s="1" t="s">
        <v>105</v>
      </c>
      <c r="I1" s="1" t="s">
        <v>106</v>
      </c>
      <c r="M1" s="1" t="s">
        <v>107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3</v>
      </c>
      <c r="Z1" s="1" t="s">
        <v>1</v>
      </c>
      <c r="AA1" s="1" t="s">
        <v>83</v>
      </c>
      <c r="AB1" s="1" t="s">
        <v>83</v>
      </c>
      <c r="AC1" s="1" t="s">
        <v>59</v>
      </c>
      <c r="AD1" s="1" t="s">
        <v>98</v>
      </c>
    </row>
    <row r="2" spans="1:30">
      <c r="A2" s="1" t="s">
        <v>1</v>
      </c>
      <c r="B2" s="1" t="s">
        <v>20</v>
      </c>
      <c r="C2" s="1" t="s">
        <v>21</v>
      </c>
      <c r="D2" s="1" t="s">
        <v>3</v>
      </c>
      <c r="F2" s="1" t="s">
        <v>1</v>
      </c>
      <c r="G2" s="1" t="s">
        <v>20</v>
      </c>
      <c r="I2" s="1" t="s">
        <v>1</v>
      </c>
      <c r="J2" s="1" t="s">
        <v>108</v>
      </c>
      <c r="K2" s="1" t="s">
        <v>109</v>
      </c>
      <c r="M2" s="1" t="s">
        <v>1</v>
      </c>
      <c r="N2" s="1" t="s">
        <v>108</v>
      </c>
      <c r="O2" s="1" t="s">
        <v>109</v>
      </c>
      <c r="Q2" s="1">
        <v>1900</v>
      </c>
      <c r="R2" s="1" t="s">
        <v>15</v>
      </c>
      <c r="S2" s="1" t="s">
        <v>15</v>
      </c>
      <c r="T2" s="1" t="s">
        <v>15</v>
      </c>
      <c r="U2" s="1">
        <v>8428705</v>
      </c>
      <c r="V2" s="1" t="s">
        <v>75</v>
      </c>
      <c r="Z2" s="1">
        <v>1900</v>
      </c>
      <c r="AA2" s="1">
        <v>2652</v>
      </c>
      <c r="AB2" s="1">
        <v>2556</v>
      </c>
      <c r="AC2" s="1">
        <v>96</v>
      </c>
      <c r="AD2" s="1">
        <v>96</v>
      </c>
    </row>
    <row r="3" spans="1:30">
      <c r="A3" s="1">
        <v>1902</v>
      </c>
      <c r="B3" s="1">
        <v>4800308</v>
      </c>
      <c r="C3" s="1" t="s">
        <v>45</v>
      </c>
      <c r="D3" s="1" t="s">
        <v>48</v>
      </c>
      <c r="F3" s="1">
        <v>1902</v>
      </c>
      <c r="G3" s="1">
        <v>4800308</v>
      </c>
      <c r="I3" s="1">
        <v>1881</v>
      </c>
      <c r="J3" s="1" t="s">
        <v>15</v>
      </c>
      <c r="K3" s="1">
        <v>10522.11</v>
      </c>
      <c r="M3" s="1">
        <v>1886</v>
      </c>
      <c r="N3" s="1">
        <v>2040.5</v>
      </c>
      <c r="O3" s="1">
        <v>491625.31</v>
      </c>
      <c r="Q3" s="1">
        <v>1901</v>
      </c>
      <c r="R3" s="1" t="s">
        <v>15</v>
      </c>
      <c r="S3" s="1" t="s">
        <v>15</v>
      </c>
      <c r="T3" s="1" t="s">
        <v>15</v>
      </c>
      <c r="U3" s="1">
        <v>9930348</v>
      </c>
      <c r="V3" s="1" t="s">
        <v>75</v>
      </c>
      <c r="Z3" s="1">
        <v>1901</v>
      </c>
      <c r="AA3" s="1">
        <v>2565</v>
      </c>
      <c r="AB3" s="3">
        <v>3022.8</v>
      </c>
      <c r="AC3" s="3">
        <v>-457.80000000000018</v>
      </c>
      <c r="AD3" s="3">
        <f t="shared" ref="AD3:AD48" si="0">AC3+AD2</f>
        <v>-361.80000000000018</v>
      </c>
    </row>
    <row r="4" spans="1:30">
      <c r="A4" s="1">
        <v>1904</v>
      </c>
      <c r="B4" s="1">
        <v>4485250</v>
      </c>
      <c r="C4" s="1" t="s">
        <v>45</v>
      </c>
      <c r="D4" s="1" t="s">
        <v>46</v>
      </c>
      <c r="F4" s="1">
        <v>1904</v>
      </c>
      <c r="G4" s="1">
        <v>4485250</v>
      </c>
      <c r="I4" s="1">
        <v>1882</v>
      </c>
      <c r="J4" s="1">
        <v>8.19</v>
      </c>
      <c r="K4" s="1">
        <v>6601.46</v>
      </c>
      <c r="M4" s="1">
        <v>1887</v>
      </c>
      <c r="N4" s="1">
        <v>1187.6600000000001</v>
      </c>
      <c r="O4" s="1">
        <v>506302.42</v>
      </c>
      <c r="Q4" s="1">
        <v>1902</v>
      </c>
      <c r="R4" s="1" t="s">
        <v>15</v>
      </c>
      <c r="S4" s="1" t="s">
        <v>15</v>
      </c>
      <c r="T4" s="1" t="s">
        <v>15</v>
      </c>
      <c r="U4" s="1">
        <v>9479624</v>
      </c>
      <c r="V4" s="1" t="s">
        <v>75</v>
      </c>
      <c r="Z4" s="1">
        <v>1902</v>
      </c>
      <c r="AA4" s="1">
        <v>3073</v>
      </c>
      <c r="AB4" s="3">
        <v>2427</v>
      </c>
      <c r="AC4" s="3">
        <v>646</v>
      </c>
      <c r="AD4" s="3">
        <f t="shared" si="0"/>
        <v>284.19999999999982</v>
      </c>
    </row>
    <row r="5" spans="1:30">
      <c r="A5" s="1">
        <v>1907</v>
      </c>
      <c r="B5" s="1">
        <v>4139449</v>
      </c>
      <c r="C5" s="1" t="s">
        <v>45</v>
      </c>
      <c r="D5" s="1" t="s">
        <v>47</v>
      </c>
      <c r="F5" s="1">
        <v>1907</v>
      </c>
      <c r="G5" s="1">
        <v>4139449</v>
      </c>
      <c r="I5" s="1">
        <v>1883</v>
      </c>
      <c r="J5" s="1">
        <v>21.46</v>
      </c>
      <c r="K5" s="1">
        <v>4749.84</v>
      </c>
      <c r="M5" s="1">
        <v>1888</v>
      </c>
      <c r="N5" s="1">
        <v>1926.34</v>
      </c>
      <c r="O5" s="1">
        <v>395155.22</v>
      </c>
      <c r="Q5" s="1">
        <v>1903</v>
      </c>
      <c r="R5" s="1" t="s">
        <v>15</v>
      </c>
      <c r="S5" s="1" t="s">
        <v>15</v>
      </c>
      <c r="T5" s="1" t="s">
        <v>15</v>
      </c>
      <c r="U5" s="1">
        <v>12960674</v>
      </c>
      <c r="V5" s="1" t="s">
        <v>75</v>
      </c>
      <c r="Z5" s="1">
        <v>1903</v>
      </c>
      <c r="AA5" s="1">
        <v>4047</v>
      </c>
      <c r="AB5" s="3">
        <v>3506.2</v>
      </c>
      <c r="AC5" s="3">
        <v>540.80000000000018</v>
      </c>
      <c r="AD5" s="3">
        <f t="shared" si="0"/>
        <v>825</v>
      </c>
    </row>
    <row r="6" spans="1:30">
      <c r="A6" s="1">
        <v>1910</v>
      </c>
      <c r="B6" s="1">
        <v>3920717</v>
      </c>
      <c r="C6" s="1" t="s">
        <v>45</v>
      </c>
      <c r="D6" s="1" t="s">
        <v>110</v>
      </c>
      <c r="F6" s="1">
        <v>1910</v>
      </c>
      <c r="G6" s="1">
        <v>3920717</v>
      </c>
      <c r="I6" s="1">
        <v>1884</v>
      </c>
      <c r="J6" s="1" t="s">
        <v>15</v>
      </c>
      <c r="K6" s="1">
        <v>52641.3</v>
      </c>
      <c r="M6" s="1">
        <v>1889</v>
      </c>
      <c r="N6" s="1">
        <v>629.04999999999995</v>
      </c>
      <c r="O6" s="1">
        <v>129342.2</v>
      </c>
      <c r="Q6" s="1">
        <v>1907</v>
      </c>
      <c r="R6" s="1" t="s">
        <v>15</v>
      </c>
      <c r="S6" s="3">
        <v>32124323.280000001</v>
      </c>
      <c r="T6" s="1" t="s">
        <v>15</v>
      </c>
      <c r="U6" s="1" t="s">
        <v>15</v>
      </c>
      <c r="V6" s="1" t="s">
        <v>76</v>
      </c>
      <c r="Z6" s="1">
        <v>1904</v>
      </c>
      <c r="AA6" s="1">
        <v>3196</v>
      </c>
      <c r="AB6" s="3">
        <v>3565.7</v>
      </c>
      <c r="AC6" s="3">
        <v>-369.69999999999982</v>
      </c>
      <c r="AD6" s="3">
        <f t="shared" si="0"/>
        <v>455.30000000000018</v>
      </c>
    </row>
    <row r="7" spans="1:30">
      <c r="A7" s="1">
        <v>1913</v>
      </c>
      <c r="B7" s="1">
        <v>3898601</v>
      </c>
      <c r="C7" s="1" t="s">
        <v>45</v>
      </c>
      <c r="D7" s="1" t="s">
        <v>48</v>
      </c>
      <c r="F7" s="1">
        <v>1913</v>
      </c>
      <c r="G7" s="1">
        <v>3898601</v>
      </c>
      <c r="I7" s="1">
        <v>1885</v>
      </c>
      <c r="J7" s="1">
        <v>71783.22</v>
      </c>
      <c r="K7" s="1">
        <v>609543.27</v>
      </c>
      <c r="M7" s="1">
        <v>1890</v>
      </c>
      <c r="N7" s="1">
        <v>926.09</v>
      </c>
      <c r="O7" s="1">
        <v>240133.53</v>
      </c>
      <c r="Q7" s="1">
        <v>1908</v>
      </c>
      <c r="R7" s="1" t="s">
        <v>15</v>
      </c>
      <c r="S7" s="3">
        <v>24530741.620000001</v>
      </c>
      <c r="T7" s="1" t="s">
        <v>15</v>
      </c>
      <c r="U7" s="1" t="s">
        <v>15</v>
      </c>
      <c r="V7" s="1" t="s">
        <v>76</v>
      </c>
      <c r="Z7" s="1">
        <v>1905</v>
      </c>
      <c r="AA7" s="1">
        <v>2833</v>
      </c>
      <c r="AB7" s="1">
        <v>4678</v>
      </c>
      <c r="AC7" s="1">
        <v>-1845</v>
      </c>
      <c r="AD7" s="3">
        <f t="shared" si="0"/>
        <v>-1389.6999999999998</v>
      </c>
    </row>
    <row r="8" spans="1:30">
      <c r="A8" s="1">
        <v>1914</v>
      </c>
      <c r="B8" s="1">
        <v>5934948</v>
      </c>
      <c r="C8" s="1" t="s">
        <v>45</v>
      </c>
      <c r="D8" s="1" t="s">
        <v>48</v>
      </c>
      <c r="F8" s="1">
        <v>1914</v>
      </c>
      <c r="G8" s="1">
        <v>5934948</v>
      </c>
      <c r="I8" s="1">
        <v>1886</v>
      </c>
      <c r="J8" s="1">
        <v>64997.88</v>
      </c>
      <c r="K8" s="1">
        <v>1268795.3999999999</v>
      </c>
      <c r="M8" s="1">
        <v>1891</v>
      </c>
      <c r="N8" s="1">
        <v>248.06</v>
      </c>
      <c r="O8" s="1">
        <v>39850.620000000003</v>
      </c>
      <c r="Q8" s="1">
        <v>1914</v>
      </c>
      <c r="R8" s="1">
        <v>856468</v>
      </c>
      <c r="S8" s="1">
        <v>28742690</v>
      </c>
      <c r="T8" s="1" t="s">
        <v>15</v>
      </c>
      <c r="U8" s="1" t="s">
        <v>15</v>
      </c>
      <c r="V8" s="1" t="s">
        <v>77</v>
      </c>
      <c r="Z8" s="1">
        <v>1906</v>
      </c>
      <c r="AA8" s="1">
        <v>2695</v>
      </c>
      <c r="AB8" s="1">
        <v>6324</v>
      </c>
      <c r="AC8" s="1">
        <v>-3629</v>
      </c>
      <c r="AD8" s="3">
        <f t="shared" si="0"/>
        <v>-5018.7</v>
      </c>
    </row>
    <row r="9" spans="1:30">
      <c r="A9" s="1">
        <v>1915</v>
      </c>
      <c r="B9" s="3">
        <v>5895461</v>
      </c>
      <c r="C9" s="1" t="s">
        <v>45</v>
      </c>
      <c r="D9" s="1" t="s">
        <v>9</v>
      </c>
      <c r="F9" s="1">
        <v>1915</v>
      </c>
      <c r="G9" s="3">
        <v>5895461</v>
      </c>
      <c r="I9" s="1">
        <v>1887</v>
      </c>
      <c r="J9" s="1">
        <v>25069.46</v>
      </c>
      <c r="K9" s="1">
        <v>1179941.6000000001</v>
      </c>
      <c r="M9" s="1">
        <v>1892</v>
      </c>
      <c r="N9" s="1">
        <v>1497.25</v>
      </c>
      <c r="O9" s="1">
        <v>275606.89</v>
      </c>
      <c r="Q9" s="1">
        <v>1915</v>
      </c>
      <c r="R9" s="1">
        <v>367972</v>
      </c>
      <c r="S9" s="1">
        <v>22389589</v>
      </c>
      <c r="T9" s="1" t="s">
        <v>15</v>
      </c>
      <c r="U9" s="1" t="s">
        <v>15</v>
      </c>
      <c r="V9" s="1" t="s">
        <v>77</v>
      </c>
      <c r="Z9" s="1">
        <v>1907</v>
      </c>
      <c r="AA9" s="1">
        <v>3236</v>
      </c>
      <c r="AB9" s="1">
        <v>7512</v>
      </c>
      <c r="AC9" s="1">
        <v>-4276</v>
      </c>
      <c r="AD9" s="3">
        <f t="shared" si="0"/>
        <v>-9294.7000000000007</v>
      </c>
    </row>
    <row r="10" spans="1:30">
      <c r="A10" s="1">
        <v>1916</v>
      </c>
      <c r="B10" s="3">
        <v>5860835.0300000003</v>
      </c>
      <c r="C10" s="1" t="s">
        <v>45</v>
      </c>
      <c r="D10" s="1" t="s">
        <v>111</v>
      </c>
      <c r="F10" s="1">
        <v>1916</v>
      </c>
      <c r="G10" s="3">
        <v>5860835.0300000003</v>
      </c>
      <c r="I10" s="1">
        <v>1888</v>
      </c>
      <c r="J10" s="1">
        <v>35773.279999999999</v>
      </c>
      <c r="K10" s="1">
        <v>1393147.77</v>
      </c>
      <c r="M10" s="1">
        <v>1893</v>
      </c>
      <c r="N10" s="1">
        <v>2073.4299999999998</v>
      </c>
      <c r="O10" s="1">
        <v>897156.45</v>
      </c>
      <c r="Q10" s="1">
        <v>1916</v>
      </c>
      <c r="R10" s="1">
        <v>776078</v>
      </c>
      <c r="S10" s="1">
        <v>31089777</v>
      </c>
      <c r="T10" s="1" t="s">
        <v>15</v>
      </c>
      <c r="U10" s="1" t="s">
        <v>15</v>
      </c>
      <c r="V10" s="1" t="s">
        <v>77</v>
      </c>
      <c r="Z10" s="1">
        <v>1908</v>
      </c>
      <c r="AA10" s="1">
        <v>3867</v>
      </c>
      <c r="AB10" s="1">
        <v>4072</v>
      </c>
      <c r="AC10" s="1">
        <v>-205</v>
      </c>
      <c r="AD10" s="3">
        <f t="shared" si="0"/>
        <v>-9499.7000000000007</v>
      </c>
    </row>
    <row r="11" spans="1:30">
      <c r="A11" s="1">
        <v>1924</v>
      </c>
      <c r="B11" s="1">
        <v>1460908</v>
      </c>
      <c r="C11" s="1" t="s">
        <v>49</v>
      </c>
      <c r="D11" s="1" t="s">
        <v>50</v>
      </c>
      <c r="F11" s="1">
        <v>1925</v>
      </c>
      <c r="G11" s="1">
        <v>5647695</v>
      </c>
      <c r="I11" s="1">
        <v>1889</v>
      </c>
      <c r="J11" s="1">
        <v>15213.01</v>
      </c>
      <c r="K11" s="1">
        <v>710001.32</v>
      </c>
      <c r="M11" s="1">
        <v>1894</v>
      </c>
      <c r="N11" s="1">
        <v>1521.37</v>
      </c>
      <c r="O11" s="1">
        <v>450836.85</v>
      </c>
      <c r="Q11" s="1">
        <v>1917</v>
      </c>
      <c r="R11" s="1">
        <v>1021675</v>
      </c>
      <c r="S11" s="1">
        <v>43195422</v>
      </c>
      <c r="T11" s="1" t="s">
        <v>15</v>
      </c>
      <c r="U11" s="1" t="s">
        <v>15</v>
      </c>
      <c r="V11" s="1" t="s">
        <v>77</v>
      </c>
      <c r="Z11" s="1">
        <v>1909</v>
      </c>
      <c r="AA11" s="1">
        <v>5137</v>
      </c>
      <c r="AB11" s="1">
        <v>3788</v>
      </c>
      <c r="AC11" s="1">
        <v>1349</v>
      </c>
      <c r="AD11" s="3">
        <f t="shared" si="0"/>
        <v>-8150.7000000000007</v>
      </c>
    </row>
    <row r="12" spans="1:30">
      <c r="A12" s="1">
        <v>1925</v>
      </c>
      <c r="B12" s="1">
        <v>5647695</v>
      </c>
      <c r="C12" s="1" t="s">
        <v>45</v>
      </c>
      <c r="D12" s="1" t="s">
        <v>112</v>
      </c>
      <c r="F12" s="1">
        <v>1926</v>
      </c>
      <c r="G12" s="1">
        <v>4987350</v>
      </c>
      <c r="I12" s="1">
        <v>1890</v>
      </c>
      <c r="J12" s="1">
        <v>4792.93</v>
      </c>
      <c r="K12" s="1">
        <v>84740.26</v>
      </c>
      <c r="M12" s="1">
        <v>1895</v>
      </c>
      <c r="N12" s="1">
        <v>78.28</v>
      </c>
      <c r="O12" s="1">
        <v>67071.070000000007</v>
      </c>
      <c r="Q12" s="1">
        <v>1918</v>
      </c>
      <c r="R12" s="1">
        <v>1081956</v>
      </c>
      <c r="S12" s="1">
        <v>32201215</v>
      </c>
      <c r="T12" s="1" t="s">
        <v>15</v>
      </c>
      <c r="U12" s="1" t="s">
        <v>15</v>
      </c>
      <c r="V12" s="1" t="s">
        <v>77</v>
      </c>
      <c r="Z12" s="1">
        <v>1910</v>
      </c>
      <c r="AA12" s="1">
        <v>4917</v>
      </c>
      <c r="AB12" s="1">
        <v>6419</v>
      </c>
      <c r="AC12" s="1">
        <v>-1502</v>
      </c>
      <c r="AD12" s="3">
        <f t="shared" si="0"/>
        <v>-9652.7000000000007</v>
      </c>
    </row>
    <row r="13" spans="1:30">
      <c r="A13" s="1">
        <v>1926</v>
      </c>
      <c r="B13" s="1">
        <v>4987350</v>
      </c>
      <c r="C13" s="1" t="s">
        <v>45</v>
      </c>
      <c r="D13" s="1" t="s">
        <v>48</v>
      </c>
      <c r="F13" s="1">
        <v>1927</v>
      </c>
      <c r="G13" s="1">
        <v>4863497</v>
      </c>
      <c r="I13" s="1">
        <v>1891</v>
      </c>
      <c r="J13" s="1">
        <v>2069.19</v>
      </c>
      <c r="K13" s="1">
        <v>126104.98</v>
      </c>
      <c r="M13" s="1">
        <v>1896</v>
      </c>
      <c r="N13" s="1">
        <v>474.73</v>
      </c>
      <c r="O13" s="1">
        <v>466058.21</v>
      </c>
      <c r="Q13" s="1" t="s">
        <v>78</v>
      </c>
      <c r="R13" s="1" t="s">
        <v>15</v>
      </c>
      <c r="S13" s="1">
        <v>128220651</v>
      </c>
      <c r="T13" s="1" t="s">
        <v>15</v>
      </c>
      <c r="U13" s="1" t="s">
        <v>15</v>
      </c>
      <c r="V13" s="1" t="s">
        <v>34</v>
      </c>
      <c r="Z13" s="1">
        <v>1911</v>
      </c>
      <c r="AA13" s="1">
        <v>4736</v>
      </c>
      <c r="AB13" s="1">
        <v>6695</v>
      </c>
      <c r="AC13" s="1">
        <v>-1959</v>
      </c>
      <c r="AD13" s="3">
        <f t="shared" si="0"/>
        <v>-11611.7</v>
      </c>
    </row>
    <row r="14" spans="1:30">
      <c r="A14" s="1">
        <v>1927</v>
      </c>
      <c r="B14" s="1">
        <v>4863497</v>
      </c>
      <c r="C14" s="1" t="s">
        <v>45</v>
      </c>
      <c r="D14" s="1" t="s">
        <v>5</v>
      </c>
      <c r="F14" s="1">
        <v>1928</v>
      </c>
      <c r="G14" s="1">
        <v>4558924</v>
      </c>
      <c r="I14" s="1">
        <v>1892</v>
      </c>
      <c r="J14" s="1">
        <v>4734.6400000000003</v>
      </c>
      <c r="K14" s="1">
        <v>87505.08</v>
      </c>
      <c r="M14" s="1">
        <v>1897</v>
      </c>
      <c r="N14" s="1">
        <v>1087.3599999999999</v>
      </c>
      <c r="O14" s="1">
        <v>285724.21000000002</v>
      </c>
      <c r="Q14" s="1" t="s">
        <v>79</v>
      </c>
      <c r="R14" s="1" t="s">
        <v>15</v>
      </c>
      <c r="S14" s="1">
        <v>166193292</v>
      </c>
      <c r="T14" s="1" t="s">
        <v>15</v>
      </c>
      <c r="U14" s="1" t="s">
        <v>15</v>
      </c>
      <c r="V14" s="1" t="s">
        <v>34</v>
      </c>
      <c r="Z14" s="1">
        <v>1912</v>
      </c>
      <c r="AA14" s="1">
        <v>4236</v>
      </c>
      <c r="AB14" s="1">
        <v>5531</v>
      </c>
      <c r="AC14" s="1">
        <v>-1295</v>
      </c>
      <c r="AD14" s="3">
        <f t="shared" si="0"/>
        <v>-12906.7</v>
      </c>
    </row>
    <row r="15" spans="1:30">
      <c r="A15" s="1">
        <v>1928</v>
      </c>
      <c r="B15" s="1">
        <v>4558924</v>
      </c>
      <c r="C15" s="1" t="s">
        <v>45</v>
      </c>
      <c r="D15" s="1" t="s">
        <v>87</v>
      </c>
      <c r="F15" s="1">
        <v>1929</v>
      </c>
      <c r="G15" s="1">
        <v>4219388</v>
      </c>
      <c r="I15" s="1">
        <v>1893</v>
      </c>
      <c r="J15" s="1">
        <v>1465.62</v>
      </c>
      <c r="K15" s="1">
        <v>42034.13</v>
      </c>
      <c r="M15" s="1">
        <v>1898</v>
      </c>
      <c r="N15" s="1">
        <v>533.99</v>
      </c>
      <c r="O15" s="1">
        <v>104048.99</v>
      </c>
      <c r="Q15" s="1">
        <v>1926</v>
      </c>
      <c r="R15" s="3">
        <v>1106280.9099999999</v>
      </c>
      <c r="S15" s="3">
        <v>118199634.53</v>
      </c>
      <c r="T15" s="1" t="s">
        <v>15</v>
      </c>
      <c r="U15" s="1" t="s">
        <v>15</v>
      </c>
      <c r="V15" s="1" t="s">
        <v>80</v>
      </c>
      <c r="Z15" s="1">
        <v>1913</v>
      </c>
      <c r="AA15" s="1">
        <v>5631</v>
      </c>
      <c r="AB15" s="1">
        <v>8120</v>
      </c>
      <c r="AC15" s="1">
        <v>-2489</v>
      </c>
      <c r="AD15" s="3">
        <f t="shared" si="0"/>
        <v>-15395.7</v>
      </c>
    </row>
    <row r="16" spans="1:30">
      <c r="A16" s="1">
        <v>1929</v>
      </c>
      <c r="B16" s="1">
        <v>4219388</v>
      </c>
      <c r="C16" s="1" t="s">
        <v>45</v>
      </c>
      <c r="D16" s="1" t="s">
        <v>7</v>
      </c>
      <c r="F16" s="1">
        <v>1933</v>
      </c>
      <c r="G16" s="1">
        <v>3345743</v>
      </c>
      <c r="I16" s="1">
        <v>1894</v>
      </c>
      <c r="J16" s="1">
        <v>1793.19</v>
      </c>
      <c r="K16" s="1">
        <v>37871.31</v>
      </c>
      <c r="M16" s="1">
        <v>1899</v>
      </c>
      <c r="N16" s="1">
        <v>856.38</v>
      </c>
      <c r="O16" s="1">
        <v>233844.75</v>
      </c>
      <c r="Q16" s="1">
        <v>1927</v>
      </c>
      <c r="R16" s="3">
        <v>1132425.25</v>
      </c>
      <c r="S16" s="3">
        <v>109513491.69</v>
      </c>
      <c r="T16" s="1" t="s">
        <v>15</v>
      </c>
      <c r="U16" s="1" t="s">
        <v>15</v>
      </c>
      <c r="V16" s="1" t="s">
        <v>80</v>
      </c>
      <c r="Z16" s="1">
        <v>1914</v>
      </c>
      <c r="AA16" s="1">
        <v>5558</v>
      </c>
      <c r="AB16" s="1">
        <v>5149</v>
      </c>
      <c r="AC16" s="1">
        <v>409</v>
      </c>
      <c r="AD16" s="3">
        <f t="shared" si="0"/>
        <v>-14986.7</v>
      </c>
    </row>
    <row r="17" spans="1:30">
      <c r="A17" s="1">
        <v>1931</v>
      </c>
      <c r="B17" s="1">
        <v>706475</v>
      </c>
      <c r="C17" s="1" t="s">
        <v>49</v>
      </c>
      <c r="D17" s="1" t="s">
        <v>113</v>
      </c>
      <c r="F17" s="1">
        <v>1934</v>
      </c>
      <c r="G17" s="1">
        <v>3345742</v>
      </c>
      <c r="I17" s="1">
        <v>1895</v>
      </c>
      <c r="J17" s="1">
        <v>427.95</v>
      </c>
      <c r="K17" s="1">
        <v>22405.9</v>
      </c>
      <c r="M17" s="1">
        <v>1900</v>
      </c>
      <c r="N17" s="1">
        <v>0</v>
      </c>
      <c r="O17" s="1">
        <v>0</v>
      </c>
      <c r="Q17" s="1">
        <v>1928</v>
      </c>
      <c r="R17" s="3">
        <v>1322002.17</v>
      </c>
      <c r="S17" s="3">
        <v>126363998.81999999</v>
      </c>
      <c r="T17" s="1" t="s">
        <v>15</v>
      </c>
      <c r="U17" s="1" t="s">
        <v>15</v>
      </c>
      <c r="V17" s="1" t="s">
        <v>80</v>
      </c>
      <c r="Z17" s="1">
        <v>1915</v>
      </c>
      <c r="AA17" s="1">
        <v>8890</v>
      </c>
      <c r="AB17" s="1">
        <v>3128</v>
      </c>
      <c r="AC17" s="1">
        <v>5762</v>
      </c>
      <c r="AD17" s="3">
        <f t="shared" si="0"/>
        <v>-9224.7000000000007</v>
      </c>
    </row>
    <row r="18" spans="1:30">
      <c r="A18" s="1">
        <v>1932</v>
      </c>
      <c r="B18" s="1">
        <v>667631</v>
      </c>
      <c r="C18" s="1" t="s">
        <v>49</v>
      </c>
      <c r="D18" s="1" t="s">
        <v>113</v>
      </c>
      <c r="F18" s="1">
        <v>1935</v>
      </c>
      <c r="G18" s="1">
        <v>7548993</v>
      </c>
      <c r="I18" s="1">
        <v>1896</v>
      </c>
      <c r="J18" s="1">
        <v>287.13</v>
      </c>
      <c r="K18" s="1">
        <v>22350.6</v>
      </c>
      <c r="M18" s="1">
        <v>1901</v>
      </c>
      <c r="N18" s="1">
        <v>0</v>
      </c>
      <c r="O18" s="1">
        <v>0</v>
      </c>
      <c r="Q18" s="1">
        <v>1929</v>
      </c>
      <c r="R18" s="3">
        <v>1036675.04</v>
      </c>
      <c r="S18" s="3">
        <v>113819384.8</v>
      </c>
      <c r="T18" s="1" t="s">
        <v>15</v>
      </c>
      <c r="U18" s="1" t="s">
        <v>15</v>
      </c>
      <c r="V18" s="1" t="s">
        <v>80</v>
      </c>
      <c r="Z18" s="1">
        <v>1916</v>
      </c>
      <c r="AA18" s="1">
        <v>8851</v>
      </c>
      <c r="AB18" s="1">
        <v>7020</v>
      </c>
      <c r="AC18" s="1">
        <v>1831</v>
      </c>
      <c r="AD18" s="3">
        <f t="shared" si="0"/>
        <v>-7393.7000000000007</v>
      </c>
    </row>
    <row r="19" spans="1:30">
      <c r="A19" s="1">
        <v>1933</v>
      </c>
      <c r="B19" s="1">
        <v>3345743</v>
      </c>
      <c r="C19" s="1" t="s">
        <v>45</v>
      </c>
      <c r="D19" s="1" t="s">
        <v>94</v>
      </c>
      <c r="F19" s="1">
        <v>1936</v>
      </c>
      <c r="G19" s="1">
        <v>7301743</v>
      </c>
      <c r="I19" s="1">
        <v>1897</v>
      </c>
      <c r="J19" s="1">
        <v>790.26</v>
      </c>
      <c r="K19" s="1">
        <v>35191.69</v>
      </c>
      <c r="M19" s="1">
        <v>1902</v>
      </c>
      <c r="N19" s="1">
        <v>0</v>
      </c>
      <c r="O19" s="1">
        <v>0</v>
      </c>
      <c r="Q19" s="1">
        <v>1949</v>
      </c>
      <c r="R19" s="1" t="s">
        <v>15</v>
      </c>
      <c r="S19" s="1" t="s">
        <v>15</v>
      </c>
      <c r="T19" s="1">
        <v>18216</v>
      </c>
      <c r="U19" s="1" t="s">
        <v>15</v>
      </c>
      <c r="V19" s="1" t="s">
        <v>35</v>
      </c>
      <c r="Z19" s="1">
        <v>1917</v>
      </c>
      <c r="AA19" s="1">
        <v>11705</v>
      </c>
      <c r="AB19" s="1">
        <v>9177</v>
      </c>
      <c r="AC19" s="1">
        <v>2528</v>
      </c>
      <c r="AD19" s="3">
        <f t="shared" si="0"/>
        <v>-4865.7000000000007</v>
      </c>
    </row>
    <row r="20" spans="1:30">
      <c r="A20" s="1">
        <v>1934</v>
      </c>
      <c r="B20" s="1">
        <v>3345742</v>
      </c>
      <c r="C20" s="1" t="s">
        <v>45</v>
      </c>
      <c r="D20" s="1" t="s">
        <v>91</v>
      </c>
      <c r="F20" s="1">
        <v>1937</v>
      </c>
      <c r="G20" s="1">
        <v>7910048</v>
      </c>
      <c r="I20" s="1">
        <v>1898</v>
      </c>
      <c r="J20" s="1">
        <v>185.03</v>
      </c>
      <c r="K20" s="1">
        <v>9644.18</v>
      </c>
      <c r="M20" s="1">
        <v>1903</v>
      </c>
      <c r="N20" s="1">
        <v>16.7</v>
      </c>
      <c r="O20" s="1">
        <v>42000</v>
      </c>
      <c r="Q20" s="1">
        <v>1950</v>
      </c>
      <c r="R20" s="1" t="s">
        <v>15</v>
      </c>
      <c r="S20" s="1" t="s">
        <v>15</v>
      </c>
      <c r="T20" s="1">
        <v>20054</v>
      </c>
      <c r="U20" s="1" t="s">
        <v>15</v>
      </c>
      <c r="V20" s="1" t="s">
        <v>35</v>
      </c>
      <c r="Z20" s="1">
        <v>1918</v>
      </c>
      <c r="AA20" s="1">
        <v>11050</v>
      </c>
      <c r="AB20" s="1">
        <v>11390</v>
      </c>
      <c r="AC20" s="1">
        <v>-340</v>
      </c>
      <c r="AD20" s="3">
        <f t="shared" si="0"/>
        <v>-5205.7000000000007</v>
      </c>
    </row>
    <row r="21" spans="1:30">
      <c r="A21" s="1">
        <v>1935</v>
      </c>
      <c r="B21" s="1">
        <v>7548993</v>
      </c>
      <c r="C21" s="1" t="s">
        <v>45</v>
      </c>
      <c r="D21" s="1" t="s">
        <v>114</v>
      </c>
      <c r="F21" s="1">
        <v>1938</v>
      </c>
      <c r="G21" s="1">
        <v>8175906</v>
      </c>
      <c r="I21" s="1">
        <v>1899</v>
      </c>
      <c r="J21" s="1">
        <v>119.69</v>
      </c>
      <c r="K21" s="1">
        <v>6734.73</v>
      </c>
      <c r="M21" s="1">
        <v>1904</v>
      </c>
      <c r="N21" s="1">
        <v>38.78</v>
      </c>
      <c r="O21" s="1">
        <v>11380</v>
      </c>
      <c r="Q21" s="1" t="s">
        <v>115</v>
      </c>
      <c r="Z21" s="1">
        <v>1919</v>
      </c>
      <c r="AA21" s="1">
        <v>9240</v>
      </c>
      <c r="AB21" s="1">
        <v>7267</v>
      </c>
      <c r="AC21" s="1">
        <v>1973</v>
      </c>
      <c r="AD21" s="3">
        <f t="shared" si="0"/>
        <v>-3232.7000000000007</v>
      </c>
    </row>
    <row r="22" spans="1:30">
      <c r="A22" s="1">
        <v>1936</v>
      </c>
      <c r="B22" s="1">
        <v>7301743</v>
      </c>
      <c r="C22" s="1" t="s">
        <v>45</v>
      </c>
      <c r="D22" s="1" t="s">
        <v>56</v>
      </c>
      <c r="F22" s="1">
        <v>1939</v>
      </c>
      <c r="G22" s="1">
        <v>10663408</v>
      </c>
      <c r="I22" s="1">
        <v>1900</v>
      </c>
      <c r="J22" s="1">
        <v>236.05</v>
      </c>
      <c r="K22" s="1">
        <v>12380.99</v>
      </c>
      <c r="Z22" s="1">
        <v>1920</v>
      </c>
      <c r="AA22" s="1">
        <v>7540</v>
      </c>
      <c r="AB22" s="1">
        <v>6513</v>
      </c>
      <c r="AC22" s="1">
        <v>1027</v>
      </c>
      <c r="AD22" s="3">
        <f t="shared" si="0"/>
        <v>-2205.7000000000007</v>
      </c>
    </row>
    <row r="23" spans="1:30">
      <c r="A23" s="1">
        <v>1937</v>
      </c>
      <c r="B23" s="1">
        <v>7910048</v>
      </c>
      <c r="C23" s="1" t="s">
        <v>45</v>
      </c>
      <c r="D23" s="1" t="s">
        <v>56</v>
      </c>
      <c r="F23" s="1">
        <v>1940</v>
      </c>
      <c r="G23" s="1">
        <v>12909000</v>
      </c>
      <c r="I23" s="1">
        <v>1901</v>
      </c>
      <c r="J23" s="1">
        <v>54.64</v>
      </c>
      <c r="K23" s="1">
        <v>21189.4</v>
      </c>
      <c r="Z23" s="1">
        <v>1921</v>
      </c>
      <c r="AA23" s="1">
        <v>6091</v>
      </c>
      <c r="AB23" s="1">
        <v>5016</v>
      </c>
      <c r="AC23" s="1">
        <v>1075</v>
      </c>
      <c r="AD23" s="3">
        <f t="shared" si="0"/>
        <v>-1130.7000000000007</v>
      </c>
    </row>
    <row r="24" spans="1:30">
      <c r="A24" s="1">
        <v>1938</v>
      </c>
      <c r="B24" s="1">
        <v>8175906</v>
      </c>
      <c r="C24" s="1" t="s">
        <v>45</v>
      </c>
      <c r="D24" s="1" t="s">
        <v>56</v>
      </c>
      <c r="F24" s="1">
        <v>1941</v>
      </c>
      <c r="G24" s="1">
        <v>15892000</v>
      </c>
      <c r="I24" s="1">
        <v>1902</v>
      </c>
      <c r="J24" s="1">
        <v>299.99</v>
      </c>
      <c r="K24" s="1">
        <v>24165.65</v>
      </c>
      <c r="Z24" s="1">
        <v>1922</v>
      </c>
      <c r="AA24" s="1">
        <v>9896</v>
      </c>
      <c r="AB24" s="1">
        <v>5684</v>
      </c>
      <c r="AC24" s="1">
        <v>4212</v>
      </c>
      <c r="AD24" s="3">
        <f t="shared" si="0"/>
        <v>3081.2999999999993</v>
      </c>
    </row>
    <row r="25" spans="1:30">
      <c r="A25" s="1">
        <v>1939</v>
      </c>
      <c r="B25" s="1">
        <v>10663408</v>
      </c>
      <c r="C25" s="1" t="s">
        <v>45</v>
      </c>
      <c r="D25" s="1" t="s">
        <v>88</v>
      </c>
      <c r="I25" s="1">
        <v>1903</v>
      </c>
      <c r="J25" s="1">
        <v>123.46</v>
      </c>
      <c r="K25" s="1">
        <v>79568.929999999993</v>
      </c>
      <c r="Z25" s="1">
        <v>1923</v>
      </c>
      <c r="AA25" s="1">
        <v>12471</v>
      </c>
      <c r="AB25" s="1">
        <v>8571</v>
      </c>
      <c r="AC25" s="1">
        <v>3900</v>
      </c>
      <c r="AD25" s="3">
        <f t="shared" si="0"/>
        <v>6981.2999999999993</v>
      </c>
    </row>
    <row r="26" spans="1:30">
      <c r="A26" s="1">
        <v>1940</v>
      </c>
      <c r="B26" s="1">
        <v>12909000</v>
      </c>
      <c r="C26" s="1" t="s">
        <v>45</v>
      </c>
      <c r="D26" s="1" t="s">
        <v>66</v>
      </c>
      <c r="I26" s="1">
        <v>1904</v>
      </c>
      <c r="J26" s="1">
        <v>18.46</v>
      </c>
      <c r="K26" s="1">
        <v>4921.66</v>
      </c>
      <c r="Z26" s="1">
        <v>1924</v>
      </c>
      <c r="AA26" s="1">
        <v>8914</v>
      </c>
      <c r="AB26" s="1">
        <v>15684</v>
      </c>
      <c r="AC26" s="1">
        <v>-6770</v>
      </c>
      <c r="AD26" s="3">
        <f t="shared" si="0"/>
        <v>211.29999999999927</v>
      </c>
    </row>
    <row r="27" spans="1:30">
      <c r="A27" s="1">
        <v>1941</v>
      </c>
      <c r="B27" s="1">
        <v>15892000</v>
      </c>
      <c r="C27" s="1" t="s">
        <v>45</v>
      </c>
      <c r="D27" s="1" t="s">
        <v>66</v>
      </c>
      <c r="I27" s="1">
        <v>1905</v>
      </c>
      <c r="J27" s="1">
        <v>0.25</v>
      </c>
      <c r="K27" s="1">
        <v>411.8</v>
      </c>
      <c r="Z27" s="1">
        <v>1925</v>
      </c>
      <c r="AA27" s="1">
        <v>15666</v>
      </c>
      <c r="AB27" s="1">
        <v>17652</v>
      </c>
      <c r="AC27" s="1">
        <v>-1986</v>
      </c>
      <c r="AD27" s="3">
        <f t="shared" si="0"/>
        <v>-1774.7000000000007</v>
      </c>
    </row>
    <row r="28" spans="1:30">
      <c r="A28" s="1">
        <v>1946</v>
      </c>
      <c r="B28" s="1">
        <v>47182705</v>
      </c>
      <c r="C28" s="1" t="s">
        <v>67</v>
      </c>
      <c r="D28" s="1" t="s">
        <v>12</v>
      </c>
      <c r="I28" s="1">
        <v>1906</v>
      </c>
      <c r="J28" s="1">
        <v>32.35</v>
      </c>
      <c r="K28" s="1">
        <v>36149.199999999997</v>
      </c>
      <c r="Z28" s="1">
        <v>1926</v>
      </c>
      <c r="AA28" s="1">
        <v>15497</v>
      </c>
      <c r="AB28" s="1">
        <v>12205</v>
      </c>
      <c r="AC28" s="1">
        <v>3292</v>
      </c>
      <c r="AD28" s="3">
        <f t="shared" si="0"/>
        <v>1517.2999999999993</v>
      </c>
    </row>
    <row r="29" spans="1:30">
      <c r="A29" s="1">
        <v>1947</v>
      </c>
      <c r="B29" s="1">
        <v>48196718</v>
      </c>
      <c r="C29" s="1" t="s">
        <v>67</v>
      </c>
      <c r="D29" s="1" t="s">
        <v>12</v>
      </c>
      <c r="I29" s="1">
        <v>1907</v>
      </c>
      <c r="J29" s="1">
        <v>16.03</v>
      </c>
      <c r="K29" s="1">
        <v>26482.53</v>
      </c>
      <c r="Z29" s="1">
        <v>1927</v>
      </c>
      <c r="AA29" s="1">
        <v>14282</v>
      </c>
      <c r="AB29" s="1">
        <v>11977</v>
      </c>
      <c r="AC29" s="1">
        <v>2305</v>
      </c>
      <c r="AD29" s="3">
        <f t="shared" si="0"/>
        <v>3822.2999999999993</v>
      </c>
    </row>
    <row r="30" spans="1:30">
      <c r="A30" s="1" t="s">
        <v>116</v>
      </c>
      <c r="I30" s="1">
        <v>1908</v>
      </c>
      <c r="J30" s="1">
        <v>2.79</v>
      </c>
      <c r="K30" s="1">
        <v>4670.8999999999996</v>
      </c>
      <c r="Z30" s="1">
        <v>1928</v>
      </c>
      <c r="AA30" s="1">
        <v>15886</v>
      </c>
      <c r="AB30" s="1">
        <v>14305</v>
      </c>
      <c r="AC30" s="1">
        <v>1581</v>
      </c>
      <c r="AD30" s="3">
        <f t="shared" si="0"/>
        <v>5403.2999999999993</v>
      </c>
    </row>
    <row r="31" spans="1:30">
      <c r="A31" s="1" t="s">
        <v>117</v>
      </c>
      <c r="I31" s="1">
        <v>1909</v>
      </c>
      <c r="J31" s="1">
        <v>54.31</v>
      </c>
      <c r="K31" s="1">
        <v>24677.040000000001</v>
      </c>
      <c r="Z31" s="1">
        <v>1929</v>
      </c>
      <c r="AA31" s="1">
        <v>13460</v>
      </c>
      <c r="AB31" s="1">
        <v>13850</v>
      </c>
      <c r="AC31" s="1">
        <v>-390</v>
      </c>
      <c r="AD31" s="3">
        <f t="shared" si="0"/>
        <v>5013.2999999999993</v>
      </c>
    </row>
    <row r="32" spans="1:30">
      <c r="I32" s="1">
        <v>1910</v>
      </c>
      <c r="J32" s="1">
        <v>3.34</v>
      </c>
      <c r="K32" s="1">
        <v>3565.2</v>
      </c>
      <c r="Z32" s="1">
        <v>1930</v>
      </c>
      <c r="AA32" s="1">
        <v>14176</v>
      </c>
      <c r="AB32" s="1">
        <v>15139</v>
      </c>
      <c r="AC32" s="1">
        <v>-963</v>
      </c>
      <c r="AD32" s="3">
        <f t="shared" si="0"/>
        <v>4050.2999999999993</v>
      </c>
    </row>
    <row r="33" spans="1:30">
      <c r="A33" s="18">
        <v>663196.42000000004</v>
      </c>
      <c r="B33" s="18">
        <v>96966.91</v>
      </c>
      <c r="C33" s="19">
        <v>796428</v>
      </c>
      <c r="D33" s="20">
        <f t="shared" ref="D33:D38" si="1">(A33+B33)/C33</f>
        <v>0.95446585253155347</v>
      </c>
      <c r="I33" s="1">
        <v>1911</v>
      </c>
      <c r="J33" s="1">
        <v>1898.78</v>
      </c>
      <c r="K33" s="1">
        <v>31474.71</v>
      </c>
      <c r="Z33" s="1">
        <v>1931</v>
      </c>
      <c r="AA33" s="1">
        <v>12856</v>
      </c>
      <c r="AB33" s="1">
        <v>10080</v>
      </c>
      <c r="AC33" s="1">
        <v>2776</v>
      </c>
      <c r="AD33" s="3">
        <f t="shared" si="0"/>
        <v>6826.2999999999993</v>
      </c>
    </row>
    <row r="34" spans="1:30">
      <c r="A34" s="21">
        <v>673094.11</v>
      </c>
      <c r="B34" s="21">
        <v>92933.22</v>
      </c>
      <c r="C34" s="22">
        <v>870381</v>
      </c>
      <c r="D34" s="20">
        <f t="shared" si="1"/>
        <v>0.88010575828286686</v>
      </c>
      <c r="I34" s="1">
        <v>1912</v>
      </c>
      <c r="J34" s="1">
        <v>5.89</v>
      </c>
      <c r="K34" s="1">
        <v>8877.35</v>
      </c>
      <c r="Z34" s="1">
        <v>1932</v>
      </c>
      <c r="AA34" s="1">
        <v>12872</v>
      </c>
      <c r="AB34" s="1">
        <v>6417</v>
      </c>
      <c r="AC34" s="1">
        <v>6455</v>
      </c>
      <c r="AD34" s="3">
        <f t="shared" si="0"/>
        <v>13281.3</v>
      </c>
    </row>
    <row r="35" spans="1:30">
      <c r="A35" s="21">
        <v>458201.4</v>
      </c>
      <c r="B35" s="21">
        <v>42830.6</v>
      </c>
      <c r="C35" s="22">
        <v>550242</v>
      </c>
      <c r="D35" s="20">
        <f t="shared" si="1"/>
        <v>0.91056662341297101</v>
      </c>
      <c r="I35" s="1">
        <v>1913</v>
      </c>
      <c r="J35" s="1">
        <v>66.8</v>
      </c>
      <c r="K35" s="1">
        <v>18776.5</v>
      </c>
      <c r="Z35" s="1">
        <v>1933</v>
      </c>
      <c r="AA35" s="1">
        <v>9767</v>
      </c>
      <c r="AB35" s="1">
        <v>7159</v>
      </c>
      <c r="AC35" s="1">
        <v>2608</v>
      </c>
      <c r="AD35" s="3">
        <f t="shared" si="0"/>
        <v>15889.3</v>
      </c>
    </row>
    <row r="36" spans="1:30">
      <c r="A36" s="21">
        <v>620692.75</v>
      </c>
      <c r="B36" s="21">
        <v>102870.17</v>
      </c>
      <c r="C36" s="22">
        <v>839972</v>
      </c>
      <c r="D36" s="20">
        <f t="shared" si="1"/>
        <v>0.86141314234284005</v>
      </c>
      <c r="I36" s="1">
        <v>1914</v>
      </c>
      <c r="J36" s="1">
        <v>16</v>
      </c>
      <c r="K36" s="1">
        <v>19276.650000000001</v>
      </c>
      <c r="Z36" s="1">
        <v>1934</v>
      </c>
      <c r="AA36" s="1">
        <v>12377</v>
      </c>
      <c r="AB36" s="1">
        <v>11340</v>
      </c>
      <c r="AC36" s="1">
        <v>1037</v>
      </c>
      <c r="AD36" s="3">
        <f t="shared" si="0"/>
        <v>16926.3</v>
      </c>
    </row>
    <row r="37" spans="1:30">
      <c r="A37" s="21">
        <v>608189.39</v>
      </c>
      <c r="B37" s="21">
        <v>118651.2</v>
      </c>
      <c r="C37" s="22">
        <v>1437900</v>
      </c>
      <c r="D37" s="20">
        <f t="shared" si="1"/>
        <v>0.50548757910842201</v>
      </c>
      <c r="Z37" s="1">
        <v>1935</v>
      </c>
      <c r="AA37" s="1">
        <v>11396</v>
      </c>
      <c r="AB37" s="1">
        <v>11630</v>
      </c>
      <c r="AC37" s="1">
        <v>-234</v>
      </c>
      <c r="AD37" s="3">
        <f t="shared" si="0"/>
        <v>16692.3</v>
      </c>
    </row>
    <row r="38" spans="1:30">
      <c r="A38" s="21">
        <v>798221.27</v>
      </c>
      <c r="B38" s="21">
        <v>113158.94</v>
      </c>
      <c r="C38" s="22">
        <v>5011827</v>
      </c>
      <c r="D38" s="20">
        <f t="shared" si="1"/>
        <v>0.18184590369938947</v>
      </c>
      <c r="Z38" s="1">
        <v>1936</v>
      </c>
      <c r="AA38" s="1">
        <v>9432</v>
      </c>
      <c r="AB38" s="1">
        <v>9814</v>
      </c>
      <c r="AC38" s="1">
        <v>-382</v>
      </c>
      <c r="AD38" s="3">
        <f t="shared" si="0"/>
        <v>16310.3</v>
      </c>
    </row>
    <row r="39" spans="1:30">
      <c r="A39" s="23">
        <v>636932.56000000006</v>
      </c>
      <c r="B39" s="23">
        <v>94568.51</v>
      </c>
      <c r="C39" s="24">
        <f t="shared" ref="C39:D39" si="2">AVERAGE(C33:C38)</f>
        <v>1584458.3333333333</v>
      </c>
      <c r="D39" s="20">
        <f t="shared" si="2"/>
        <v>0.71564747656300698</v>
      </c>
      <c r="Z39" s="1">
        <v>1937</v>
      </c>
      <c r="AA39" s="1">
        <v>12066</v>
      </c>
      <c r="AB39" s="1">
        <v>12401</v>
      </c>
      <c r="AC39" s="1">
        <v>-335</v>
      </c>
      <c r="AD39" s="3">
        <f t="shared" si="0"/>
        <v>15975.3</v>
      </c>
    </row>
    <row r="40" spans="1:30">
      <c r="Z40" s="1">
        <v>1938</v>
      </c>
      <c r="AA40" s="1">
        <v>12017</v>
      </c>
      <c r="AB40" s="1">
        <v>13083</v>
      </c>
      <c r="AC40" s="1">
        <v>-1066</v>
      </c>
      <c r="AD40" s="3">
        <f t="shared" si="0"/>
        <v>14909.3</v>
      </c>
    </row>
    <row r="41" spans="1:30">
      <c r="A41" s="1" t="s">
        <v>38</v>
      </c>
      <c r="G41" s="4"/>
      <c r="Z41" s="1">
        <v>1939</v>
      </c>
      <c r="AA41" s="1">
        <v>13164</v>
      </c>
      <c r="AB41" s="1">
        <v>12604</v>
      </c>
      <c r="AC41" s="1">
        <v>560</v>
      </c>
      <c r="AD41" s="3">
        <f t="shared" si="0"/>
        <v>15469.3</v>
      </c>
    </row>
    <row r="42" spans="1:30">
      <c r="A42" s="1" t="s">
        <v>1</v>
      </c>
      <c r="B42" s="1" t="s">
        <v>39</v>
      </c>
      <c r="C42" s="1" t="s">
        <v>40</v>
      </c>
      <c r="D42" s="1" t="s">
        <v>41</v>
      </c>
      <c r="E42" s="1" t="s">
        <v>42</v>
      </c>
      <c r="F42" s="1" t="s">
        <v>43</v>
      </c>
      <c r="G42" s="9" t="s">
        <v>44</v>
      </c>
      <c r="H42" s="1" t="s">
        <v>118</v>
      </c>
      <c r="I42" s="1" t="s">
        <v>119</v>
      </c>
      <c r="N42" s="48" t="s">
        <v>120</v>
      </c>
      <c r="O42" s="47"/>
      <c r="P42" s="47"/>
      <c r="Z42" s="1">
        <v>1940</v>
      </c>
      <c r="AA42" s="1">
        <v>11385</v>
      </c>
      <c r="AB42" s="1">
        <v>14894</v>
      </c>
      <c r="AC42" s="1">
        <v>-3509</v>
      </c>
      <c r="AD42" s="3">
        <f t="shared" si="0"/>
        <v>11960.3</v>
      </c>
    </row>
    <row r="43" spans="1:30">
      <c r="A43" s="9">
        <v>1909</v>
      </c>
      <c r="B43" s="3">
        <v>31072178</v>
      </c>
      <c r="C43" s="3">
        <v>911093</v>
      </c>
      <c r="D43" s="1">
        <v>26915834</v>
      </c>
      <c r="E43" s="1">
        <v>930359</v>
      </c>
      <c r="F43" s="3">
        <f t="shared" ref="F43:G43" si="3">D43-B43</f>
        <v>-4156344</v>
      </c>
      <c r="G43" s="3">
        <f t="shared" si="3"/>
        <v>19266</v>
      </c>
      <c r="H43" s="2">
        <f t="shared" ref="H43:H60" si="4">E43/D43</f>
        <v>3.4565490335540038E-2</v>
      </c>
      <c r="I43" s="2">
        <f t="shared" ref="I43:I60" si="5">C43/B43</f>
        <v>2.9321826104368995E-2</v>
      </c>
      <c r="N43" s="25" t="s">
        <v>121</v>
      </c>
      <c r="O43" s="26" t="s">
        <v>122</v>
      </c>
      <c r="P43" s="26" t="s">
        <v>123</v>
      </c>
      <c r="Z43" s="1">
        <v>1941</v>
      </c>
      <c r="AA43" s="1">
        <v>15153</v>
      </c>
      <c r="AB43" s="1">
        <v>12187</v>
      </c>
      <c r="AC43" s="1">
        <v>2966</v>
      </c>
      <c r="AD43" s="3">
        <f t="shared" si="0"/>
        <v>14926.3</v>
      </c>
    </row>
    <row r="44" spans="1:30">
      <c r="A44" s="9">
        <v>1910</v>
      </c>
      <c r="B44" s="3">
        <v>29385982</v>
      </c>
      <c r="C44" s="3">
        <v>624103</v>
      </c>
      <c r="D44" s="1">
        <v>21820857</v>
      </c>
      <c r="E44" s="1">
        <v>1379583</v>
      </c>
      <c r="F44" s="3">
        <f t="shared" ref="F44:G44" si="6">D44-B44</f>
        <v>-7565125</v>
      </c>
      <c r="G44" s="3">
        <f t="shared" si="6"/>
        <v>755480</v>
      </c>
      <c r="H44" s="2">
        <f t="shared" si="4"/>
        <v>6.3223135553291968E-2</v>
      </c>
      <c r="I44" s="2">
        <f t="shared" si="5"/>
        <v>2.1238119590490458E-2</v>
      </c>
      <c r="N44" s="27">
        <v>1881</v>
      </c>
      <c r="O44" s="28">
        <v>663196.42000000004</v>
      </c>
      <c r="P44" s="28">
        <v>96966.91</v>
      </c>
      <c r="T44" s="1" t="s">
        <v>16</v>
      </c>
      <c r="X44" s="1" t="s">
        <v>124</v>
      </c>
      <c r="Z44" s="1">
        <v>1942</v>
      </c>
      <c r="AA44" s="1">
        <v>16540</v>
      </c>
      <c r="AB44" s="1">
        <v>17162</v>
      </c>
      <c r="AC44" s="1">
        <v>-622</v>
      </c>
      <c r="AD44" s="3">
        <f t="shared" si="0"/>
        <v>14304.3</v>
      </c>
    </row>
    <row r="45" spans="1:30">
      <c r="A45" s="9">
        <v>1911</v>
      </c>
      <c r="B45" s="1">
        <v>29603020</v>
      </c>
      <c r="C45" s="1">
        <v>2535481</v>
      </c>
      <c r="D45" s="1">
        <v>15989396</v>
      </c>
      <c r="E45" s="1">
        <v>1798803</v>
      </c>
      <c r="F45" s="1">
        <f t="shared" ref="F45:G45" si="7">D45-B45</f>
        <v>-13613624</v>
      </c>
      <c r="G45" s="1">
        <f t="shared" si="7"/>
        <v>-736678</v>
      </c>
      <c r="H45" s="2">
        <f t="shared" si="4"/>
        <v>0.11249974670713014</v>
      </c>
      <c r="I45" s="2">
        <f t="shared" si="5"/>
        <v>8.5649403337902691E-2</v>
      </c>
      <c r="N45" s="29">
        <v>1882</v>
      </c>
      <c r="O45" s="30">
        <v>673094.11</v>
      </c>
      <c r="P45" s="30">
        <v>92933.22</v>
      </c>
      <c r="T45" s="1" t="s">
        <v>1</v>
      </c>
      <c r="U45" s="1" t="s">
        <v>19</v>
      </c>
      <c r="X45" s="1" t="s">
        <v>1</v>
      </c>
      <c r="Y45" s="1" t="s">
        <v>20</v>
      </c>
      <c r="Z45" s="1">
        <v>1943</v>
      </c>
      <c r="AA45" s="1">
        <v>20245</v>
      </c>
      <c r="AB45" s="1">
        <v>21054</v>
      </c>
      <c r="AC45" s="1">
        <v>-809</v>
      </c>
      <c r="AD45" s="3">
        <f t="shared" si="0"/>
        <v>13495.3</v>
      </c>
    </row>
    <row r="46" spans="1:30">
      <c r="A46" s="9">
        <v>1912</v>
      </c>
      <c r="B46" s="1">
        <v>45601971</v>
      </c>
      <c r="C46" s="1">
        <v>1908563</v>
      </c>
      <c r="D46" s="1">
        <v>24059349</v>
      </c>
      <c r="E46" s="1">
        <v>1349629</v>
      </c>
      <c r="F46" s="1">
        <f t="shared" ref="F46:G46" si="8">D46-B46</f>
        <v>-21542622</v>
      </c>
      <c r="G46" s="1">
        <f t="shared" si="8"/>
        <v>-558934</v>
      </c>
      <c r="H46" s="2">
        <f t="shared" si="4"/>
        <v>5.6095823706618163E-2</v>
      </c>
      <c r="I46" s="2">
        <f t="shared" si="5"/>
        <v>4.1852642728973273E-2</v>
      </c>
      <c r="N46" s="29">
        <v>1883</v>
      </c>
      <c r="O46" s="30">
        <v>458201.4</v>
      </c>
      <c r="P46" s="30">
        <v>42830.6</v>
      </c>
      <c r="T46" s="1">
        <v>1900</v>
      </c>
      <c r="U46" s="6">
        <v>11542825.439999999</v>
      </c>
      <c r="X46" s="1">
        <v>1900</v>
      </c>
      <c r="Y46" s="1" t="s">
        <v>15</v>
      </c>
      <c r="Z46" s="1">
        <v>1944</v>
      </c>
      <c r="AA46" s="1">
        <v>24191</v>
      </c>
      <c r="AB46" s="1">
        <v>22879</v>
      </c>
      <c r="AC46" s="1">
        <v>1312</v>
      </c>
      <c r="AD46" s="3">
        <f t="shared" si="0"/>
        <v>14807.3</v>
      </c>
    </row>
    <row r="47" spans="1:30">
      <c r="A47" s="9">
        <v>1913</v>
      </c>
      <c r="B47" s="1">
        <v>52381249</v>
      </c>
      <c r="C47" s="1">
        <v>1503569</v>
      </c>
      <c r="D47" s="1">
        <v>40062013</v>
      </c>
      <c r="E47" s="1">
        <v>1508142</v>
      </c>
      <c r="F47" s="1">
        <f t="shared" ref="F47:G47" si="9">D47-B47</f>
        <v>-12319236</v>
      </c>
      <c r="G47" s="1">
        <f t="shared" si="9"/>
        <v>4573</v>
      </c>
      <c r="H47" s="2">
        <f t="shared" si="4"/>
        <v>3.7645187724341257E-2</v>
      </c>
      <c r="I47" s="2">
        <f t="shared" si="5"/>
        <v>2.8704336546079685E-2</v>
      </c>
      <c r="N47" s="29">
        <v>1884</v>
      </c>
      <c r="O47" s="30">
        <v>620692.75</v>
      </c>
      <c r="P47" s="30">
        <v>102870.17</v>
      </c>
      <c r="T47" s="1">
        <v>1901</v>
      </c>
      <c r="U47" s="6">
        <v>10766171.189999999</v>
      </c>
      <c r="X47" s="1">
        <v>1901</v>
      </c>
      <c r="Y47" s="3">
        <f t="shared" ref="Y47:Y72" si="10">U47-U46</f>
        <v>-776654.25</v>
      </c>
      <c r="Z47" s="1">
        <v>1945</v>
      </c>
      <c r="AA47" s="1">
        <v>39390</v>
      </c>
      <c r="AB47" s="1">
        <v>31234</v>
      </c>
      <c r="AC47" s="1">
        <v>8156</v>
      </c>
      <c r="AD47" s="3">
        <f t="shared" si="0"/>
        <v>22963.3</v>
      </c>
    </row>
    <row r="48" spans="1:30">
      <c r="A48" s="9">
        <v>1914</v>
      </c>
      <c r="B48" s="1">
        <v>64516569</v>
      </c>
      <c r="C48" s="1">
        <v>711365</v>
      </c>
      <c r="D48" s="1">
        <v>40210050</v>
      </c>
      <c r="E48" s="1">
        <v>799561</v>
      </c>
      <c r="F48" s="1">
        <f t="shared" ref="F48:G48" si="11">D48-B48</f>
        <v>-24306519</v>
      </c>
      <c r="G48" s="1">
        <f t="shared" si="11"/>
        <v>88196</v>
      </c>
      <c r="H48" s="2">
        <f t="shared" si="4"/>
        <v>1.9884605962937126E-2</v>
      </c>
      <c r="I48" s="2">
        <f t="shared" si="5"/>
        <v>1.1026082307631703E-2</v>
      </c>
      <c r="N48" s="29">
        <v>1885</v>
      </c>
      <c r="O48" s="30">
        <v>608189.39</v>
      </c>
      <c r="P48" s="30">
        <v>118651.2</v>
      </c>
      <c r="T48" s="1">
        <v>1902</v>
      </c>
      <c r="U48" s="6">
        <v>12769000.689999999</v>
      </c>
      <c r="X48" s="1">
        <v>1902</v>
      </c>
      <c r="Y48" s="3">
        <f t="shared" si="10"/>
        <v>2002829.5</v>
      </c>
      <c r="Z48" s="1">
        <v>1946</v>
      </c>
      <c r="AA48" s="3">
        <v>47247.750000000007</v>
      </c>
      <c r="AB48" s="3">
        <v>37979.699999999997</v>
      </c>
      <c r="AC48" s="3">
        <v>9268.0500000000102</v>
      </c>
      <c r="AD48" s="3">
        <f t="shared" si="0"/>
        <v>32231.350000000009</v>
      </c>
    </row>
    <row r="49" spans="1:25">
      <c r="A49" s="9">
        <v>1915</v>
      </c>
      <c r="B49" s="1">
        <v>82013648</v>
      </c>
      <c r="C49" s="1">
        <v>929141</v>
      </c>
      <c r="D49" s="1">
        <v>40339865</v>
      </c>
      <c r="E49" s="1">
        <v>364923</v>
      </c>
      <c r="F49" s="1">
        <f t="shared" ref="F49:G49" si="12">D49-B49</f>
        <v>-41673783</v>
      </c>
      <c r="G49" s="1">
        <f t="shared" si="12"/>
        <v>-564218</v>
      </c>
      <c r="H49" s="2">
        <f t="shared" si="4"/>
        <v>9.0462127228239358E-3</v>
      </c>
      <c r="I49" s="2">
        <f t="shared" si="5"/>
        <v>1.1329102200160637E-2</v>
      </c>
      <c r="N49" s="29">
        <v>1886</v>
      </c>
      <c r="O49" s="30">
        <v>798221.27</v>
      </c>
      <c r="P49" s="30">
        <v>113158.94</v>
      </c>
      <c r="T49" s="1">
        <v>1903</v>
      </c>
      <c r="U49" s="3">
        <v>16576071.5</v>
      </c>
      <c r="X49" s="1">
        <v>1903</v>
      </c>
      <c r="Y49" s="3">
        <f t="shared" si="10"/>
        <v>3807070.8100000005</v>
      </c>
    </row>
    <row r="50" spans="1:25">
      <c r="A50" s="9">
        <v>1916</v>
      </c>
      <c r="B50" s="1">
        <v>63329207</v>
      </c>
      <c r="C50" s="1">
        <v>815184</v>
      </c>
      <c r="D50" s="1">
        <v>38959200</v>
      </c>
      <c r="E50" s="1">
        <v>1222986</v>
      </c>
      <c r="F50" s="1">
        <f t="shared" ref="F50:G50" si="13">D50-B50</f>
        <v>-24370007</v>
      </c>
      <c r="G50" s="1">
        <f t="shared" si="13"/>
        <v>407802</v>
      </c>
      <c r="H50" s="2">
        <f t="shared" si="4"/>
        <v>3.1391455676707938E-2</v>
      </c>
      <c r="I50" s="2">
        <f t="shared" si="5"/>
        <v>1.2872164971211466E-2</v>
      </c>
      <c r="N50" s="31" t="s">
        <v>125</v>
      </c>
      <c r="O50" s="32">
        <v>636932.56000000006</v>
      </c>
      <c r="P50" s="32">
        <v>94568.51</v>
      </c>
      <c r="T50" s="1">
        <v>1904</v>
      </c>
      <c r="U50" s="3">
        <v>20349367.5</v>
      </c>
      <c r="X50" s="1">
        <v>1904</v>
      </c>
      <c r="Y50" s="3">
        <f t="shared" si="10"/>
        <v>3773296</v>
      </c>
    </row>
    <row r="51" spans="1:25">
      <c r="A51" s="9">
        <v>1917</v>
      </c>
      <c r="B51" s="1">
        <v>45656767</v>
      </c>
      <c r="C51" s="1">
        <v>624059</v>
      </c>
      <c r="D51" s="1">
        <v>42285081</v>
      </c>
      <c r="E51" s="1">
        <v>841115</v>
      </c>
      <c r="F51" s="1">
        <f t="shared" ref="F51:G51" si="14">D51-B51</f>
        <v>-3371686</v>
      </c>
      <c r="G51" s="1">
        <f t="shared" si="14"/>
        <v>217056</v>
      </c>
      <c r="H51" s="2">
        <f t="shared" si="4"/>
        <v>1.9891531010665441E-2</v>
      </c>
      <c r="I51" s="2">
        <f t="shared" si="5"/>
        <v>1.3668488616375311E-2</v>
      </c>
      <c r="N51" s="1" t="s">
        <v>126</v>
      </c>
      <c r="T51" s="1">
        <v>1905</v>
      </c>
      <c r="U51" s="1">
        <v>34700000</v>
      </c>
      <c r="X51" s="1">
        <v>1905</v>
      </c>
      <c r="Y51" s="3">
        <f t="shared" si="10"/>
        <v>14350632.5</v>
      </c>
    </row>
    <row r="52" spans="1:25">
      <c r="A52" s="9">
        <v>1918</v>
      </c>
      <c r="B52" s="1">
        <v>86900064</v>
      </c>
      <c r="C52" s="1">
        <v>1331763</v>
      </c>
      <c r="D52" s="1">
        <v>86481149</v>
      </c>
      <c r="E52" s="1">
        <v>1619533</v>
      </c>
      <c r="F52" s="1">
        <f t="shared" ref="F52:G52" si="15">D52-B52</f>
        <v>-418915</v>
      </c>
      <c r="G52" s="1">
        <f t="shared" si="15"/>
        <v>287770</v>
      </c>
      <c r="H52" s="2">
        <f t="shared" si="4"/>
        <v>1.8727006043825805E-2</v>
      </c>
      <c r="I52" s="2">
        <f t="shared" si="5"/>
        <v>1.5325224616635495E-2</v>
      </c>
      <c r="T52" s="1">
        <v>1906</v>
      </c>
      <c r="U52" s="1">
        <v>35000000</v>
      </c>
      <c r="X52" s="1">
        <v>1906</v>
      </c>
      <c r="Y52" s="1">
        <f t="shared" si="10"/>
        <v>300000</v>
      </c>
    </row>
    <row r="53" spans="1:25">
      <c r="A53" s="9">
        <v>1919</v>
      </c>
      <c r="B53" s="1">
        <v>80755167</v>
      </c>
      <c r="C53" s="1">
        <v>1722424</v>
      </c>
      <c r="D53" s="1">
        <v>55208776</v>
      </c>
      <c r="E53" s="1">
        <v>2186039</v>
      </c>
      <c r="F53" s="1">
        <f t="shared" ref="F53:G53" si="16">D53-B53</f>
        <v>-25546391</v>
      </c>
      <c r="G53" s="1">
        <f t="shared" si="16"/>
        <v>463615</v>
      </c>
      <c r="H53" s="2">
        <f t="shared" si="4"/>
        <v>3.9595860629114472E-2</v>
      </c>
      <c r="I53" s="2">
        <f t="shared" si="5"/>
        <v>2.1328963383853816E-2</v>
      </c>
      <c r="T53" s="1">
        <v>1907</v>
      </c>
      <c r="U53" s="1">
        <v>35000000</v>
      </c>
      <c r="X53" s="1">
        <v>1907</v>
      </c>
      <c r="Y53" s="1">
        <f t="shared" si="10"/>
        <v>0</v>
      </c>
    </row>
    <row r="54" spans="1:25">
      <c r="A54" s="9">
        <v>1920</v>
      </c>
      <c r="B54" s="1">
        <v>48254593</v>
      </c>
      <c r="C54" s="1">
        <v>705520</v>
      </c>
      <c r="D54" s="1">
        <v>43402668</v>
      </c>
      <c r="E54" s="1">
        <v>503493</v>
      </c>
      <c r="F54" s="1">
        <f t="shared" ref="F54:G54" si="17">D54-B54</f>
        <v>-4851925</v>
      </c>
      <c r="G54" s="1">
        <f t="shared" si="17"/>
        <v>-202027</v>
      </c>
      <c r="H54" s="2">
        <f t="shared" si="4"/>
        <v>1.1600508060933028E-2</v>
      </c>
      <c r="I54" s="2">
        <f t="shared" si="5"/>
        <v>1.4620784388337913E-2</v>
      </c>
      <c r="T54" s="1">
        <v>1908</v>
      </c>
      <c r="U54" s="1">
        <v>35000000</v>
      </c>
      <c r="X54" s="1">
        <v>1908</v>
      </c>
      <c r="Y54" s="1">
        <f t="shared" si="10"/>
        <v>0</v>
      </c>
    </row>
    <row r="55" spans="1:25">
      <c r="A55" s="9">
        <v>1921</v>
      </c>
      <c r="B55" s="1">
        <v>83463189</v>
      </c>
      <c r="C55" s="1">
        <v>981844</v>
      </c>
      <c r="D55" s="1">
        <v>87722080</v>
      </c>
      <c r="E55" s="1">
        <v>919985</v>
      </c>
      <c r="F55" s="1">
        <f t="shared" ref="F55:G55" si="18">D55-B55</f>
        <v>4258891</v>
      </c>
      <c r="G55" s="1">
        <f t="shared" si="18"/>
        <v>-61859</v>
      </c>
      <c r="H55" s="2">
        <f t="shared" si="4"/>
        <v>1.0487496420513512E-2</v>
      </c>
      <c r="I55" s="2">
        <f t="shared" si="5"/>
        <v>1.1763796851807328E-2</v>
      </c>
      <c r="T55" s="1">
        <v>1909</v>
      </c>
      <c r="U55" s="1">
        <v>35000000</v>
      </c>
      <c r="X55" s="1">
        <v>1909</v>
      </c>
      <c r="Y55" s="1">
        <f t="shared" si="10"/>
        <v>0</v>
      </c>
    </row>
    <row r="56" spans="1:25">
      <c r="A56" s="9">
        <v>1922</v>
      </c>
      <c r="B56" s="10">
        <v>90060088</v>
      </c>
      <c r="C56" s="3">
        <v>1283391</v>
      </c>
      <c r="D56" s="10">
        <v>82399081</v>
      </c>
      <c r="E56" s="1">
        <v>791054</v>
      </c>
      <c r="F56" s="1">
        <f t="shared" ref="F56:G56" si="19">D56-B56</f>
        <v>-7661007</v>
      </c>
      <c r="G56" s="3">
        <f t="shared" si="19"/>
        <v>-492337</v>
      </c>
      <c r="H56" s="2">
        <f t="shared" si="4"/>
        <v>9.6002769739628527E-3</v>
      </c>
      <c r="I56" s="2">
        <f t="shared" si="5"/>
        <v>1.4250385809083376E-2</v>
      </c>
      <c r="T56" s="1">
        <v>1910</v>
      </c>
      <c r="U56" s="1">
        <v>35000000</v>
      </c>
      <c r="X56" s="1">
        <v>1910</v>
      </c>
      <c r="Y56" s="1">
        <f t="shared" si="10"/>
        <v>0</v>
      </c>
    </row>
    <row r="57" spans="1:25">
      <c r="A57" s="9">
        <v>1923</v>
      </c>
      <c r="B57" s="10">
        <v>93819206</v>
      </c>
      <c r="C57" s="3">
        <v>1327207</v>
      </c>
      <c r="D57" s="10">
        <v>101239700</v>
      </c>
      <c r="E57" s="1">
        <v>1012937</v>
      </c>
      <c r="F57" s="1">
        <f t="shared" ref="F57:G57" si="20">D57-B57</f>
        <v>7420494</v>
      </c>
      <c r="G57" s="3">
        <f t="shared" si="20"/>
        <v>-314270</v>
      </c>
      <c r="H57" s="2">
        <f t="shared" si="4"/>
        <v>1.0005333875939972E-2</v>
      </c>
      <c r="I57" s="2">
        <f t="shared" si="5"/>
        <v>1.4146431808429501E-2</v>
      </c>
      <c r="T57" s="1">
        <v>1911</v>
      </c>
      <c r="U57" s="1">
        <v>35000000</v>
      </c>
      <c r="X57" s="1">
        <v>1911</v>
      </c>
      <c r="Y57" s="1">
        <f t="shared" si="10"/>
        <v>0</v>
      </c>
    </row>
    <row r="58" spans="1:25">
      <c r="A58" s="1" t="s">
        <v>51</v>
      </c>
      <c r="B58" s="3">
        <v>123127037.68000001</v>
      </c>
      <c r="C58" s="3">
        <v>1526739.76</v>
      </c>
      <c r="D58" s="1">
        <v>135072740</v>
      </c>
      <c r="E58" s="1">
        <v>1275840</v>
      </c>
      <c r="F58" s="3">
        <f t="shared" ref="F58:G58" si="21">D58-B58</f>
        <v>11945702.319999993</v>
      </c>
      <c r="G58" s="3">
        <f t="shared" si="21"/>
        <v>-250899.76</v>
      </c>
      <c r="H58" s="2">
        <f t="shared" si="4"/>
        <v>9.4455772497100444E-3</v>
      </c>
      <c r="I58" s="2">
        <f t="shared" si="5"/>
        <v>1.2399711621162426E-2</v>
      </c>
      <c r="N58" s="1">
        <v>1907</v>
      </c>
      <c r="O58" s="1" t="s">
        <v>15</v>
      </c>
      <c r="P58" s="1" t="s">
        <v>15</v>
      </c>
      <c r="Q58" s="1">
        <f>1471844.49+455624.89</f>
        <v>1927469.38</v>
      </c>
      <c r="R58" s="13" t="s">
        <v>65</v>
      </c>
      <c r="T58" s="1">
        <v>1912</v>
      </c>
      <c r="U58" s="1">
        <v>35000000</v>
      </c>
      <c r="X58" s="1">
        <v>1912</v>
      </c>
      <c r="Y58" s="1">
        <f t="shared" si="10"/>
        <v>0</v>
      </c>
    </row>
    <row r="59" spans="1:25">
      <c r="A59" s="1" t="s">
        <v>52</v>
      </c>
      <c r="B59" s="3">
        <v>164766227.09999999</v>
      </c>
      <c r="C59" s="3">
        <v>1476823.24</v>
      </c>
      <c r="D59" s="1">
        <v>174484264</v>
      </c>
      <c r="E59" s="1">
        <v>1250330</v>
      </c>
      <c r="F59" s="3">
        <f t="shared" ref="F59:G59" si="22">D59-B59</f>
        <v>9718036.900000006</v>
      </c>
      <c r="G59" s="3">
        <f t="shared" si="22"/>
        <v>-226493.24</v>
      </c>
      <c r="H59" s="2">
        <f t="shared" si="4"/>
        <v>7.1658611002307923E-3</v>
      </c>
      <c r="I59" s="2">
        <f t="shared" si="5"/>
        <v>8.9631429085505841E-3</v>
      </c>
      <c r="N59" s="1">
        <v>1908</v>
      </c>
      <c r="O59" s="1" t="s">
        <v>15</v>
      </c>
      <c r="P59" s="1" t="s">
        <v>15</v>
      </c>
      <c r="Q59" s="1">
        <v>1471844.49</v>
      </c>
      <c r="R59" s="13" t="s">
        <v>65</v>
      </c>
      <c r="T59" s="1">
        <v>1913</v>
      </c>
      <c r="U59" s="1">
        <v>65000000</v>
      </c>
      <c r="X59" s="1">
        <v>1913</v>
      </c>
      <c r="Y59" s="1">
        <f t="shared" si="10"/>
        <v>30000000</v>
      </c>
    </row>
    <row r="60" spans="1:25">
      <c r="A60" s="1" t="s">
        <v>53</v>
      </c>
      <c r="B60" s="3">
        <v>201259240.52000001</v>
      </c>
      <c r="C60" s="3">
        <v>1379358.86</v>
      </c>
      <c r="D60" s="1">
        <v>199016200</v>
      </c>
      <c r="E60" s="3">
        <v>1432146.93</v>
      </c>
      <c r="F60" s="3">
        <f t="shared" ref="F60:G60" si="23">D60-B60</f>
        <v>-2243040.5200000107</v>
      </c>
      <c r="G60" s="3">
        <f t="shared" si="23"/>
        <v>52788.069999999832</v>
      </c>
      <c r="H60" s="2">
        <f t="shared" si="4"/>
        <v>7.1961324254005447E-3</v>
      </c>
      <c r="I60" s="2">
        <f t="shared" si="5"/>
        <v>6.8536423790336578E-3</v>
      </c>
      <c r="M60" s="1" t="s">
        <v>127</v>
      </c>
      <c r="N60" s="1">
        <v>1914</v>
      </c>
      <c r="O60" s="1">
        <v>856468</v>
      </c>
      <c r="P60" s="1">
        <v>28742690</v>
      </c>
      <c r="Q60" s="1" t="s">
        <v>15</v>
      </c>
      <c r="R60" s="1" t="s">
        <v>77</v>
      </c>
      <c r="T60" s="1">
        <v>1914</v>
      </c>
      <c r="U60" s="1">
        <v>90000000</v>
      </c>
      <c r="X60" s="1">
        <v>1914</v>
      </c>
      <c r="Y60" s="1">
        <f t="shared" si="10"/>
        <v>25000000</v>
      </c>
    </row>
    <row r="61" spans="1:25">
      <c r="A61" s="9">
        <v>1928</v>
      </c>
      <c r="B61" s="1" t="s">
        <v>15</v>
      </c>
      <c r="C61" s="1" t="s">
        <v>15</v>
      </c>
      <c r="D61" s="3">
        <v>208601846.08000001</v>
      </c>
      <c r="E61" s="3">
        <v>1932992.61</v>
      </c>
      <c r="F61" s="1" t="s">
        <v>15</v>
      </c>
      <c r="G61" s="1" t="s">
        <v>15</v>
      </c>
      <c r="N61" s="1">
        <v>1915</v>
      </c>
      <c r="O61" s="1">
        <v>367972</v>
      </c>
      <c r="P61" s="1">
        <v>22389589</v>
      </c>
      <c r="Q61" s="1" t="s">
        <v>15</v>
      </c>
      <c r="R61" s="1" t="s">
        <v>77</v>
      </c>
      <c r="T61" s="1">
        <v>1915</v>
      </c>
      <c r="U61" s="1">
        <v>115000000</v>
      </c>
      <c r="X61" s="1">
        <v>1915</v>
      </c>
      <c r="Y61" s="1">
        <f t="shared" si="10"/>
        <v>25000000</v>
      </c>
    </row>
    <row r="62" spans="1:25">
      <c r="A62" s="9">
        <v>1929</v>
      </c>
      <c r="B62" s="1" t="s">
        <v>15</v>
      </c>
      <c r="C62" s="1" t="s">
        <v>15</v>
      </c>
      <c r="D62" s="3">
        <v>251432452.63999999</v>
      </c>
      <c r="E62" s="3">
        <v>1111129.58</v>
      </c>
      <c r="F62" s="1" t="s">
        <v>15</v>
      </c>
      <c r="G62" s="1" t="s">
        <v>15</v>
      </c>
      <c r="N62" s="1">
        <v>1916</v>
      </c>
      <c r="O62" s="1">
        <v>776078</v>
      </c>
      <c r="P62" s="1">
        <v>31089777</v>
      </c>
      <c r="Q62" s="1" t="s">
        <v>15</v>
      </c>
      <c r="R62" s="1" t="s">
        <v>77</v>
      </c>
      <c r="T62" s="1">
        <v>1916</v>
      </c>
      <c r="U62" s="1">
        <v>125000000</v>
      </c>
      <c r="X62" s="1">
        <v>1916</v>
      </c>
      <c r="Y62" s="1">
        <f t="shared" si="10"/>
        <v>10000000</v>
      </c>
    </row>
    <row r="63" spans="1:25">
      <c r="A63" s="9" t="s">
        <v>54</v>
      </c>
      <c r="B63" s="3">
        <v>203589965.53999999</v>
      </c>
      <c r="C63" s="3">
        <v>1170798.67</v>
      </c>
      <c r="D63" s="3" t="s">
        <v>15</v>
      </c>
      <c r="E63" s="3" t="s">
        <v>15</v>
      </c>
      <c r="F63" s="1" t="s">
        <v>15</v>
      </c>
      <c r="G63" s="1" t="s">
        <v>15</v>
      </c>
      <c r="N63" s="1">
        <v>1917</v>
      </c>
      <c r="O63" s="1">
        <v>1021675</v>
      </c>
      <c r="P63" s="1">
        <v>43195422</v>
      </c>
      <c r="Q63" s="1" t="s">
        <v>15</v>
      </c>
      <c r="R63" s="1" t="s">
        <v>77</v>
      </c>
      <c r="T63" s="1">
        <v>1917</v>
      </c>
      <c r="U63" s="1">
        <v>125000000</v>
      </c>
      <c r="X63" s="1">
        <v>1917</v>
      </c>
      <c r="Y63" s="1">
        <f t="shared" si="10"/>
        <v>0</v>
      </c>
    </row>
    <row r="64" spans="1:25">
      <c r="A64" s="9">
        <v>1930</v>
      </c>
      <c r="B64" s="1" t="s">
        <v>15</v>
      </c>
      <c r="C64" s="1" t="s">
        <v>15</v>
      </c>
      <c r="D64" s="3">
        <v>223610414.34</v>
      </c>
      <c r="E64" s="3">
        <v>1073628.24</v>
      </c>
      <c r="F64" s="1" t="s">
        <v>15</v>
      </c>
      <c r="G64" s="1" t="s">
        <v>15</v>
      </c>
      <c r="N64" s="1">
        <v>1918</v>
      </c>
      <c r="O64" s="1">
        <v>1081956</v>
      </c>
      <c r="P64" s="1">
        <v>32201215</v>
      </c>
      <c r="Q64" s="1" t="s">
        <v>15</v>
      </c>
      <c r="R64" s="1" t="s">
        <v>77</v>
      </c>
      <c r="T64" s="1">
        <v>1918</v>
      </c>
      <c r="U64" s="1">
        <v>125000000</v>
      </c>
      <c r="X64" s="1">
        <v>1918</v>
      </c>
      <c r="Y64" s="1">
        <f t="shared" si="10"/>
        <v>0</v>
      </c>
    </row>
    <row r="65" spans="1:25">
      <c r="A65" s="9">
        <v>1931</v>
      </c>
      <c r="B65" s="1" t="s">
        <v>15</v>
      </c>
      <c r="C65" s="1" t="s">
        <v>15</v>
      </c>
      <c r="D65" s="3">
        <v>174835130.58000001</v>
      </c>
      <c r="E65" s="3">
        <v>561565</v>
      </c>
      <c r="F65" s="1" t="s">
        <v>15</v>
      </c>
      <c r="G65" s="1" t="s">
        <v>15</v>
      </c>
      <c r="N65" s="10" t="s">
        <v>78</v>
      </c>
      <c r="O65" s="1" t="s">
        <v>15</v>
      </c>
      <c r="P65" s="1">
        <v>128220651</v>
      </c>
      <c r="Q65" s="1" t="s">
        <v>15</v>
      </c>
      <c r="R65" s="1" t="s">
        <v>34</v>
      </c>
      <c r="T65" s="1">
        <v>1919</v>
      </c>
      <c r="U65" s="1">
        <v>125000000</v>
      </c>
      <c r="X65" s="1">
        <v>1919</v>
      </c>
      <c r="Y65" s="1">
        <f t="shared" si="10"/>
        <v>0</v>
      </c>
    </row>
    <row r="66" spans="1:25">
      <c r="A66" s="9">
        <v>1932</v>
      </c>
      <c r="B66" s="1" t="s">
        <v>15</v>
      </c>
      <c r="C66" s="1" t="s">
        <v>15</v>
      </c>
      <c r="D66" s="3">
        <v>143000843.91999999</v>
      </c>
      <c r="E66" s="3">
        <v>521091.27</v>
      </c>
      <c r="F66" s="1" t="s">
        <v>15</v>
      </c>
      <c r="G66" s="1" t="s">
        <v>15</v>
      </c>
      <c r="I66" s="1" t="s">
        <v>128</v>
      </c>
      <c r="N66" s="10" t="s">
        <v>79</v>
      </c>
      <c r="O66" s="1" t="s">
        <v>15</v>
      </c>
      <c r="P66" s="1">
        <v>166193292</v>
      </c>
      <c r="Q66" s="1" t="s">
        <v>15</v>
      </c>
      <c r="R66" s="1" t="s">
        <v>34</v>
      </c>
      <c r="T66" s="1">
        <v>1920</v>
      </c>
      <c r="U66" s="1">
        <v>182983000</v>
      </c>
      <c r="X66" s="1">
        <v>1920</v>
      </c>
      <c r="Y66" s="1">
        <f t="shared" si="10"/>
        <v>57983000</v>
      </c>
    </row>
    <row r="67" spans="1:25">
      <c r="A67" s="1" t="s">
        <v>129</v>
      </c>
      <c r="I67" s="33" t="s">
        <v>121</v>
      </c>
      <c r="J67" s="33" t="s">
        <v>130</v>
      </c>
      <c r="K67" s="33" t="s">
        <v>131</v>
      </c>
      <c r="L67" s="33" t="s">
        <v>132</v>
      </c>
      <c r="M67" s="1" t="s">
        <v>133</v>
      </c>
      <c r="N67" s="1">
        <v>1926</v>
      </c>
      <c r="O67" s="3">
        <v>1106280.9099999999</v>
      </c>
      <c r="P67" s="3">
        <v>118199634.53</v>
      </c>
      <c r="Q67" s="1" t="s">
        <v>15</v>
      </c>
      <c r="R67" s="1" t="s">
        <v>80</v>
      </c>
      <c r="T67" s="1">
        <v>1921</v>
      </c>
      <c r="U67" s="1">
        <v>171956060</v>
      </c>
      <c r="X67" s="1">
        <v>1921</v>
      </c>
      <c r="Y67" s="1">
        <f t="shared" si="10"/>
        <v>-11026940</v>
      </c>
    </row>
    <row r="68" spans="1:25">
      <c r="I68" s="34">
        <v>1881</v>
      </c>
      <c r="J68" s="35">
        <v>796428</v>
      </c>
      <c r="K68" s="36" t="s">
        <v>15</v>
      </c>
      <c r="L68" s="36" t="s">
        <v>15</v>
      </c>
      <c r="N68" s="1">
        <v>1927</v>
      </c>
      <c r="O68" s="3">
        <v>1132425.25</v>
      </c>
      <c r="P68" s="3">
        <v>109513491.69</v>
      </c>
      <c r="Q68" s="1" t="s">
        <v>15</v>
      </c>
      <c r="R68" s="1" t="s">
        <v>80</v>
      </c>
      <c r="T68" s="1">
        <v>1922</v>
      </c>
      <c r="U68" s="1">
        <v>171956060</v>
      </c>
      <c r="X68" s="1">
        <v>1922</v>
      </c>
      <c r="Y68" s="1">
        <f t="shared" si="10"/>
        <v>0</v>
      </c>
    </row>
    <row r="69" spans="1:25">
      <c r="I69" s="37">
        <v>1882</v>
      </c>
      <c r="J69" s="38">
        <v>870381</v>
      </c>
      <c r="K69" s="36" t="s">
        <v>15</v>
      </c>
      <c r="L69" s="36" t="s">
        <v>15</v>
      </c>
      <c r="N69" s="1">
        <v>1928</v>
      </c>
      <c r="O69" s="3">
        <v>1322002.17</v>
      </c>
      <c r="P69" s="3">
        <v>126363998.81999999</v>
      </c>
      <c r="Q69" s="1" t="s">
        <v>15</v>
      </c>
      <c r="R69" s="1" t="s">
        <v>80</v>
      </c>
      <c r="T69" s="1">
        <v>1923</v>
      </c>
      <c r="U69" s="1">
        <v>171956060</v>
      </c>
      <c r="X69" s="1">
        <v>1923</v>
      </c>
      <c r="Y69" s="1">
        <f t="shared" si="10"/>
        <v>0</v>
      </c>
    </row>
    <row r="70" spans="1:25">
      <c r="A70" s="1" t="s">
        <v>55</v>
      </c>
      <c r="G70" s="1"/>
      <c r="I70" s="37">
        <v>1883</v>
      </c>
      <c r="J70" s="38">
        <v>550242</v>
      </c>
      <c r="K70" s="36" t="s">
        <v>15</v>
      </c>
      <c r="L70" s="36" t="s">
        <v>15</v>
      </c>
      <c r="N70" s="1">
        <v>1929</v>
      </c>
      <c r="O70" s="3">
        <v>1036675.04</v>
      </c>
      <c r="P70" s="3">
        <v>113819384.8</v>
      </c>
      <c r="Q70" s="1" t="s">
        <v>15</v>
      </c>
      <c r="R70" s="1" t="s">
        <v>80</v>
      </c>
      <c r="T70" s="1">
        <v>1924</v>
      </c>
      <c r="U70" s="1">
        <v>171956060</v>
      </c>
      <c r="X70" s="1">
        <v>1924</v>
      </c>
      <c r="Y70" s="1">
        <f t="shared" si="10"/>
        <v>0</v>
      </c>
    </row>
    <row r="71" spans="1:25">
      <c r="A71" s="1" t="s">
        <v>1</v>
      </c>
      <c r="B71" s="1" t="s">
        <v>57</v>
      </c>
      <c r="C71" s="1" t="s">
        <v>58</v>
      </c>
      <c r="D71" s="1" t="s">
        <v>59</v>
      </c>
      <c r="E71" s="1" t="s">
        <v>60</v>
      </c>
      <c r="F71" s="1" t="s">
        <v>61</v>
      </c>
      <c r="G71" s="1" t="s">
        <v>3</v>
      </c>
      <c r="I71" s="37">
        <v>1884</v>
      </c>
      <c r="J71" s="38">
        <v>839972</v>
      </c>
      <c r="K71" s="38">
        <v>1239972</v>
      </c>
      <c r="L71" s="38">
        <v>-400000</v>
      </c>
      <c r="M71" s="2">
        <f t="shared" ref="M71:M89" si="24">L71/J71</f>
        <v>-0.47620634973546738</v>
      </c>
      <c r="N71" s="1">
        <v>1949</v>
      </c>
      <c r="O71" s="1" t="s">
        <v>15</v>
      </c>
      <c r="P71" s="1" t="s">
        <v>15</v>
      </c>
      <c r="Q71" s="1">
        <v>18216</v>
      </c>
      <c r="R71" s="1" t="s">
        <v>35</v>
      </c>
      <c r="T71" s="1">
        <v>1925</v>
      </c>
      <c r="U71" s="3">
        <f>225496659+2560058.07</f>
        <v>228056717.06999999</v>
      </c>
      <c r="X71" s="1">
        <v>1925</v>
      </c>
      <c r="Y71" s="3">
        <f t="shared" si="10"/>
        <v>56100657.069999993</v>
      </c>
    </row>
    <row r="72" spans="1:25">
      <c r="A72" s="1">
        <v>1906</v>
      </c>
      <c r="B72" s="1">
        <v>452812</v>
      </c>
      <c r="C72" s="1">
        <v>454564</v>
      </c>
      <c r="D72" s="1">
        <v>-1752</v>
      </c>
      <c r="E72" s="2">
        <v>-3.8691554110756783E-3</v>
      </c>
      <c r="F72" s="1" t="s">
        <v>62</v>
      </c>
      <c r="G72" s="1" t="s">
        <v>63</v>
      </c>
      <c r="I72" s="37">
        <v>1885</v>
      </c>
      <c r="J72" s="38">
        <v>1437900</v>
      </c>
      <c r="K72" s="38">
        <v>1307023</v>
      </c>
      <c r="L72" s="38">
        <v>130877</v>
      </c>
      <c r="M72" s="2">
        <f t="shared" si="24"/>
        <v>9.1019542388205019E-2</v>
      </c>
      <c r="N72" s="1">
        <v>1950</v>
      </c>
      <c r="O72" s="1" t="s">
        <v>15</v>
      </c>
      <c r="P72" s="1" t="s">
        <v>15</v>
      </c>
      <c r="Q72" s="1">
        <v>20054</v>
      </c>
      <c r="R72" s="1" t="s">
        <v>35</v>
      </c>
      <c r="T72" s="1">
        <v>1926</v>
      </c>
      <c r="U72" s="1">
        <v>192660637</v>
      </c>
      <c r="X72" s="1">
        <v>1926</v>
      </c>
      <c r="Y72" s="3">
        <f t="shared" si="10"/>
        <v>-35396080.069999993</v>
      </c>
    </row>
    <row r="73" spans="1:25">
      <c r="A73" s="1">
        <v>1907</v>
      </c>
      <c r="B73" s="1">
        <v>635000</v>
      </c>
      <c r="C73" s="1">
        <v>677982</v>
      </c>
      <c r="D73" s="1">
        <v>-42982</v>
      </c>
      <c r="E73" s="2">
        <v>-6.7688188976377947E-2</v>
      </c>
      <c r="F73" s="1" t="s">
        <v>62</v>
      </c>
      <c r="G73" s="1" t="s">
        <v>63</v>
      </c>
      <c r="I73" s="37">
        <v>1886</v>
      </c>
      <c r="J73" s="38">
        <v>5011827</v>
      </c>
      <c r="K73" s="38">
        <v>1377756</v>
      </c>
      <c r="L73" s="38">
        <v>3634071</v>
      </c>
      <c r="M73" s="2">
        <f t="shared" si="24"/>
        <v>0.72509905070546132</v>
      </c>
      <c r="N73" s="1" t="s">
        <v>115</v>
      </c>
      <c r="T73" s="1">
        <v>1928</v>
      </c>
      <c r="U73" s="1">
        <v>213314101</v>
      </c>
      <c r="X73" s="1">
        <v>1927</v>
      </c>
      <c r="Y73" s="1" t="s">
        <v>15</v>
      </c>
    </row>
    <row r="74" spans="1:25">
      <c r="A74" s="1">
        <v>1907</v>
      </c>
      <c r="B74" s="1">
        <v>2202408.7600000002</v>
      </c>
      <c r="C74" s="1">
        <v>2189565</v>
      </c>
      <c r="D74" s="1">
        <v>12843.760000000242</v>
      </c>
      <c r="E74" s="2">
        <v>5.8316876654632638E-3</v>
      </c>
      <c r="F74" s="1" t="s">
        <v>64</v>
      </c>
      <c r="G74" s="1" t="s">
        <v>65</v>
      </c>
      <c r="I74" s="37">
        <v>1887</v>
      </c>
      <c r="J74" s="38">
        <v>3056093</v>
      </c>
      <c r="K74" s="38">
        <v>1398504</v>
      </c>
      <c r="L74" s="38">
        <v>1657589</v>
      </c>
      <c r="M74" s="2">
        <f t="shared" si="24"/>
        <v>0.54238827156110758</v>
      </c>
      <c r="T74" s="1">
        <v>1929</v>
      </c>
      <c r="U74" s="1">
        <v>210765153</v>
      </c>
      <c r="X74" s="1">
        <v>1928</v>
      </c>
      <c r="Y74" s="1" t="s">
        <v>15</v>
      </c>
    </row>
    <row r="75" spans="1:25">
      <c r="A75" s="1">
        <v>1908</v>
      </c>
      <c r="B75" s="1">
        <v>599828</v>
      </c>
      <c r="C75" s="1">
        <v>506502</v>
      </c>
      <c r="D75" s="1">
        <v>93326</v>
      </c>
      <c r="E75" s="2">
        <v>0.155587935208093</v>
      </c>
      <c r="F75" s="1" t="s">
        <v>62</v>
      </c>
      <c r="G75" s="1" t="s">
        <v>63</v>
      </c>
      <c r="I75" s="37">
        <v>1888</v>
      </c>
      <c r="J75" s="38">
        <v>3472154</v>
      </c>
      <c r="K75" s="38">
        <v>2791558</v>
      </c>
      <c r="L75" s="38">
        <v>680596</v>
      </c>
      <c r="M75" s="2">
        <f t="shared" si="24"/>
        <v>0.19601549931253048</v>
      </c>
      <c r="T75" s="1">
        <v>1931</v>
      </c>
      <c r="U75" s="1">
        <v>196509726</v>
      </c>
      <c r="X75" s="1">
        <v>1929</v>
      </c>
      <c r="Y75" s="1">
        <f>U74-U73</f>
        <v>-2548948</v>
      </c>
    </row>
    <row r="76" spans="1:25">
      <c r="A76" s="1">
        <v>1908</v>
      </c>
      <c r="B76" s="1">
        <v>1760234.24</v>
      </c>
      <c r="C76" s="1" t="s">
        <v>15</v>
      </c>
      <c r="D76" s="1" t="s">
        <v>15</v>
      </c>
      <c r="E76" s="1" t="s">
        <v>15</v>
      </c>
      <c r="F76" s="1" t="s">
        <v>64</v>
      </c>
      <c r="G76" s="1" t="s">
        <v>65</v>
      </c>
      <c r="I76" s="37">
        <v>1889</v>
      </c>
      <c r="J76" s="38">
        <v>4124676</v>
      </c>
      <c r="K76" s="38">
        <v>4252797</v>
      </c>
      <c r="L76" s="38">
        <v>-128121</v>
      </c>
      <c r="M76" s="2">
        <f t="shared" si="24"/>
        <v>-3.1062076148526574E-2</v>
      </c>
      <c r="N76" s="9"/>
      <c r="O76" s="1" t="s">
        <v>134</v>
      </c>
      <c r="P76" s="1" t="s">
        <v>135</v>
      </c>
      <c r="Q76" s="1" t="s">
        <v>92</v>
      </c>
      <c r="T76" s="1">
        <v>1932</v>
      </c>
      <c r="U76" s="1">
        <v>200000000</v>
      </c>
      <c r="X76" s="1">
        <v>1930</v>
      </c>
      <c r="Y76" s="1" t="s">
        <v>15</v>
      </c>
    </row>
    <row r="77" spans="1:25">
      <c r="A77" s="1">
        <v>1943</v>
      </c>
      <c r="B77" s="1">
        <v>15486000</v>
      </c>
      <c r="C77" s="1">
        <v>34594308</v>
      </c>
      <c r="D77" s="1">
        <v>-19108308</v>
      </c>
      <c r="E77" s="2">
        <v>-1.2339085625726463</v>
      </c>
      <c r="F77" s="1" t="s">
        <v>68</v>
      </c>
      <c r="G77" s="1" t="s">
        <v>10</v>
      </c>
      <c r="I77" s="39">
        <v>1890</v>
      </c>
      <c r="J77" s="40">
        <v>1737764</v>
      </c>
      <c r="K77" s="40">
        <v>3242631</v>
      </c>
      <c r="L77" s="40">
        <v>-1504867</v>
      </c>
      <c r="M77" s="2">
        <f t="shared" si="24"/>
        <v>-0.8659789246410905</v>
      </c>
      <c r="N77" s="9"/>
      <c r="O77" s="34">
        <v>1891</v>
      </c>
      <c r="P77" s="1">
        <v>1648000</v>
      </c>
      <c r="Q77" s="1">
        <v>2485000</v>
      </c>
      <c r="X77" s="1">
        <v>1931</v>
      </c>
      <c r="Y77" s="1" t="s">
        <v>15</v>
      </c>
    </row>
    <row r="78" spans="1:25">
      <c r="A78" s="1">
        <v>1944</v>
      </c>
      <c r="B78" s="1">
        <v>19319000</v>
      </c>
      <c r="C78" s="1">
        <v>37081056</v>
      </c>
      <c r="D78" s="1">
        <v>-17762056</v>
      </c>
      <c r="E78" s="2">
        <v>-0.91940866504477459</v>
      </c>
      <c r="F78" s="1" t="s">
        <v>68</v>
      </c>
      <c r="G78" s="1" t="s">
        <v>10</v>
      </c>
      <c r="I78" s="34">
        <v>1891</v>
      </c>
      <c r="J78" s="3">
        <f t="shared" ref="J78:J86" si="25">(P77*P96)+(P77*(1-P96)/X83)</f>
        <v>585819.62677377986</v>
      </c>
      <c r="K78" s="3">
        <f t="shared" ref="K78:K86" si="26">(Q77*Q96)+(Q77*(1-Q96)/X83)</f>
        <v>805066.77099443926</v>
      </c>
      <c r="L78" s="3">
        <f t="shared" ref="L78:L89" si="27">J78-K78</f>
        <v>-219247.14422065939</v>
      </c>
      <c r="M78" s="2">
        <f t="shared" si="24"/>
        <v>-0.37425708221504139</v>
      </c>
      <c r="N78" s="9"/>
      <c r="O78" s="37">
        <v>1892</v>
      </c>
      <c r="P78" s="1">
        <v>2731000</v>
      </c>
      <c r="Q78" s="1">
        <v>3829000</v>
      </c>
      <c r="X78" s="1">
        <v>1932</v>
      </c>
      <c r="Y78" s="1">
        <f>U76-U75</f>
        <v>3490274</v>
      </c>
    </row>
    <row r="79" spans="1:25">
      <c r="A79" s="1">
        <v>1945</v>
      </c>
      <c r="B79" s="1">
        <v>24607000</v>
      </c>
      <c r="C79" s="1">
        <v>18626874</v>
      </c>
      <c r="D79" s="1">
        <v>5980126</v>
      </c>
      <c r="E79" s="2">
        <v>0.24302539927662861</v>
      </c>
      <c r="F79" s="1" t="s">
        <v>68</v>
      </c>
      <c r="G79" s="1" t="s">
        <v>11</v>
      </c>
      <c r="I79" s="37">
        <v>1892</v>
      </c>
      <c r="J79" s="3">
        <f t="shared" si="25"/>
        <v>742315.64966997015</v>
      </c>
      <c r="K79" s="3">
        <f t="shared" si="26"/>
        <v>909273.08574433601</v>
      </c>
      <c r="L79" s="3">
        <f t="shared" si="27"/>
        <v>-166957.43607436586</v>
      </c>
      <c r="M79" s="2">
        <f t="shared" si="24"/>
        <v>-0.22491434223243753</v>
      </c>
      <c r="N79" s="9"/>
      <c r="O79" s="37">
        <v>1893</v>
      </c>
      <c r="P79" s="1">
        <v>5776000</v>
      </c>
      <c r="Q79" s="1">
        <v>5851000</v>
      </c>
    </row>
    <row r="80" spans="1:25">
      <c r="A80" s="1">
        <v>1946</v>
      </c>
      <c r="B80" s="1">
        <v>36796247</v>
      </c>
      <c r="C80" s="1" t="s">
        <v>15</v>
      </c>
      <c r="D80" s="1" t="s">
        <v>15</v>
      </c>
      <c r="E80" s="1" t="s">
        <v>15</v>
      </c>
      <c r="F80" s="1" t="s">
        <v>68</v>
      </c>
      <c r="G80" s="1" t="s">
        <v>12</v>
      </c>
      <c r="I80" s="37">
        <v>1893</v>
      </c>
      <c r="J80" s="3">
        <f t="shared" si="25"/>
        <v>1508338.1840723455</v>
      </c>
      <c r="K80" s="3">
        <f t="shared" si="26"/>
        <v>1331417.502330082</v>
      </c>
      <c r="L80" s="3">
        <f t="shared" si="27"/>
        <v>176920.68174226349</v>
      </c>
      <c r="M80" s="2">
        <f t="shared" si="24"/>
        <v>0.1172951023918239</v>
      </c>
      <c r="N80" s="9"/>
      <c r="O80" s="37">
        <v>1894</v>
      </c>
      <c r="P80" s="1">
        <v>4547000</v>
      </c>
      <c r="Q80" s="1">
        <v>5900000</v>
      </c>
    </row>
    <row r="81" spans="1:29">
      <c r="A81" s="1">
        <v>1947</v>
      </c>
      <c r="B81" s="1">
        <v>41682262</v>
      </c>
      <c r="C81" s="1">
        <v>30099035</v>
      </c>
      <c r="D81" s="1">
        <v>11583227</v>
      </c>
      <c r="E81" s="2">
        <v>0.27789343582169318</v>
      </c>
      <c r="F81" s="1" t="s">
        <v>68</v>
      </c>
      <c r="G81" s="1" t="s">
        <v>12</v>
      </c>
      <c r="I81" s="37">
        <v>1894</v>
      </c>
      <c r="J81" s="3">
        <f t="shared" si="25"/>
        <v>1136539.0621031262</v>
      </c>
      <c r="K81" s="3">
        <f t="shared" si="26"/>
        <v>1281055.490117752</v>
      </c>
      <c r="L81" s="3">
        <f t="shared" si="27"/>
        <v>-144516.4280146258</v>
      </c>
      <c r="M81" s="2">
        <f t="shared" si="24"/>
        <v>-0.1271548271708349</v>
      </c>
      <c r="N81" s="9"/>
      <c r="O81" s="37">
        <v>1895</v>
      </c>
      <c r="P81" s="1">
        <v>5100000</v>
      </c>
      <c r="Q81" s="1">
        <v>5509000</v>
      </c>
    </row>
    <row r="82" spans="1:29">
      <c r="A82" s="1">
        <v>1948</v>
      </c>
      <c r="B82" s="1">
        <v>46000000</v>
      </c>
      <c r="C82" s="1">
        <v>74000000</v>
      </c>
      <c r="D82" s="1">
        <v>-28000000</v>
      </c>
      <c r="E82" s="2">
        <v>-0.60869565217391308</v>
      </c>
      <c r="F82" s="1" t="s">
        <v>68</v>
      </c>
      <c r="G82" s="1" t="s">
        <v>69</v>
      </c>
      <c r="I82" s="37">
        <v>1895</v>
      </c>
      <c r="J82" s="3">
        <f t="shared" si="25"/>
        <v>1266472.0536252619</v>
      </c>
      <c r="K82" s="3">
        <f t="shared" si="26"/>
        <v>1193754.6040235953</v>
      </c>
      <c r="L82" s="3">
        <f t="shared" si="27"/>
        <v>72717.449601666536</v>
      </c>
      <c r="M82" s="2">
        <f t="shared" si="24"/>
        <v>5.7417334550346893E-2</v>
      </c>
      <c r="N82" s="9"/>
      <c r="O82" s="37">
        <v>1896</v>
      </c>
      <c r="P82" s="1">
        <v>6074000</v>
      </c>
      <c r="Q82" s="1">
        <v>7109000</v>
      </c>
      <c r="X82" s="1" t="s">
        <v>136</v>
      </c>
    </row>
    <row r="83" spans="1:29">
      <c r="A83" s="1" t="s">
        <v>137</v>
      </c>
      <c r="G83" s="1"/>
      <c r="I83" s="37">
        <v>1896</v>
      </c>
      <c r="J83" s="3">
        <f t="shared" si="25"/>
        <v>1559590.5712636949</v>
      </c>
      <c r="K83" s="3">
        <f t="shared" si="26"/>
        <v>1611755.9747473216</v>
      </c>
      <c r="L83" s="3">
        <f t="shared" si="27"/>
        <v>-52165.403483626666</v>
      </c>
      <c r="M83" s="2">
        <f t="shared" si="24"/>
        <v>-3.3448139816181645E-2</v>
      </c>
      <c r="N83" s="9"/>
      <c r="O83" s="37">
        <v>1897</v>
      </c>
      <c r="P83" s="1">
        <v>8638000</v>
      </c>
      <c r="Q83" s="1">
        <v>9580000</v>
      </c>
      <c r="W83" s="1">
        <v>1891</v>
      </c>
      <c r="X83" s="14">
        <f>AVERAGE(V84:V95)/100</f>
        <v>3.7625000000000002</v>
      </c>
    </row>
    <row r="84" spans="1:29">
      <c r="I84" s="37">
        <v>1897</v>
      </c>
      <c r="J84" s="3">
        <f t="shared" si="25"/>
        <v>2028094.3482680637</v>
      </c>
      <c r="K84" s="3">
        <f t="shared" si="26"/>
        <v>1965027.033800462</v>
      </c>
      <c r="L84" s="3">
        <f t="shared" si="27"/>
        <v>63067.314467601711</v>
      </c>
      <c r="M84" s="2">
        <f t="shared" si="24"/>
        <v>3.109683458339078E-2</v>
      </c>
      <c r="N84" s="9"/>
      <c r="O84" s="37">
        <v>1898</v>
      </c>
      <c r="P84" s="1">
        <v>8976300</v>
      </c>
      <c r="Q84" s="1">
        <v>9511200</v>
      </c>
      <c r="T84" s="1">
        <v>1891</v>
      </c>
      <c r="U84" s="1" t="s">
        <v>22</v>
      </c>
      <c r="V84" s="1">
        <v>220</v>
      </c>
      <c r="W84" s="1">
        <v>1892</v>
      </c>
      <c r="X84" s="14">
        <f>AVERAGE(V96:V107)/100</f>
        <v>5.7533333333333339</v>
      </c>
    </row>
    <row r="85" spans="1:29">
      <c r="A85" s="1" t="s">
        <v>17</v>
      </c>
      <c r="D85" s="1" t="s">
        <v>138</v>
      </c>
      <c r="I85" s="37">
        <v>1898</v>
      </c>
      <c r="J85" s="3">
        <f t="shared" si="25"/>
        <v>1978075.3860907888</v>
      </c>
      <c r="K85" s="3">
        <f t="shared" si="26"/>
        <v>1820578.9615816413</v>
      </c>
      <c r="L85" s="3">
        <f t="shared" si="27"/>
        <v>157496.42450914741</v>
      </c>
      <c r="M85" s="2">
        <f t="shared" si="24"/>
        <v>7.96210425631972E-2</v>
      </c>
      <c r="N85" s="9"/>
      <c r="O85" s="37">
        <v>1899</v>
      </c>
      <c r="P85" s="1">
        <v>9411600</v>
      </c>
      <c r="Q85" s="1">
        <v>9972400</v>
      </c>
      <c r="T85" s="1">
        <v>1891</v>
      </c>
      <c r="U85" s="1" t="s">
        <v>23</v>
      </c>
      <c r="V85" s="1">
        <v>260</v>
      </c>
      <c r="W85" s="1">
        <v>1893</v>
      </c>
      <c r="X85" s="14">
        <f>AVERAGE(V108:V119)/100</f>
        <v>6.0583333333333336</v>
      </c>
    </row>
    <row r="86" spans="1:29">
      <c r="A86" s="1" t="s">
        <v>1</v>
      </c>
      <c r="B86" s="1" t="s">
        <v>18</v>
      </c>
      <c r="C86" s="1" t="s">
        <v>20</v>
      </c>
      <c r="D86" s="1" t="s">
        <v>3</v>
      </c>
      <c r="F86" s="1" t="s">
        <v>136</v>
      </c>
      <c r="I86" s="37">
        <v>1899</v>
      </c>
      <c r="J86" s="3">
        <f t="shared" si="25"/>
        <v>2054769.5207719249</v>
      </c>
      <c r="K86" s="3">
        <f t="shared" si="26"/>
        <v>1900391.1306509268</v>
      </c>
      <c r="L86" s="3">
        <f t="shared" si="27"/>
        <v>154378.39012099802</v>
      </c>
      <c r="M86" s="2">
        <f t="shared" si="24"/>
        <v>7.5131730620085296E-2</v>
      </c>
      <c r="O86" s="37">
        <v>1900</v>
      </c>
      <c r="P86" s="1">
        <v>9856900</v>
      </c>
      <c r="Q86" s="1">
        <v>14503700</v>
      </c>
      <c r="T86" s="1">
        <v>1891</v>
      </c>
      <c r="U86" s="1" t="s">
        <v>24</v>
      </c>
      <c r="V86" s="1">
        <v>280</v>
      </c>
      <c r="W86" s="1">
        <v>1894</v>
      </c>
      <c r="X86" s="14">
        <f>AVERAGE(V120:V131)/100</f>
        <v>6.4183333333333339</v>
      </c>
    </row>
    <row r="87" spans="1:29">
      <c r="A87" s="1">
        <v>1900</v>
      </c>
      <c r="B87" s="1" t="s">
        <v>22</v>
      </c>
      <c r="C87" s="1">
        <v>817</v>
      </c>
      <c r="D87" s="1" t="s">
        <v>4</v>
      </c>
      <c r="E87" s="1">
        <v>1900</v>
      </c>
      <c r="F87" s="14">
        <f>AVERAGE(C87:C98)/100</f>
        <v>8.2083333333333339</v>
      </c>
      <c r="H87" s="2"/>
      <c r="I87" s="37">
        <v>1900</v>
      </c>
      <c r="J87" s="3">
        <f t="shared" ref="J87:J90" si="28">(P86*P105)+(P86*(1-P105)/F87)</f>
        <v>1982119.0301980078</v>
      </c>
      <c r="K87" s="3">
        <f t="shared" ref="K87:K89" si="29">(Q86*Q105)+(Q86*(1-Q105)/F87)</f>
        <v>2523752.4643982463</v>
      </c>
      <c r="L87" s="3">
        <f t="shared" si="27"/>
        <v>-541633.43420023844</v>
      </c>
      <c r="M87" s="2">
        <f t="shared" si="24"/>
        <v>-0.2732597921458485</v>
      </c>
      <c r="O87" s="37">
        <v>1901</v>
      </c>
      <c r="P87" s="1">
        <v>11412700</v>
      </c>
      <c r="Q87" s="1">
        <v>14995000</v>
      </c>
      <c r="T87" s="1">
        <v>1891</v>
      </c>
      <c r="U87" s="1" t="s">
        <v>25</v>
      </c>
      <c r="V87" s="1">
        <v>300</v>
      </c>
      <c r="W87" s="1">
        <v>1895</v>
      </c>
      <c r="X87" s="14">
        <f>AVERAGE(V132:V143)/100</f>
        <v>6.3558333333333339</v>
      </c>
    </row>
    <row r="88" spans="1:29">
      <c r="A88" s="1">
        <v>1900</v>
      </c>
      <c r="B88" s="1" t="s">
        <v>23</v>
      </c>
      <c r="C88" s="1">
        <v>827</v>
      </c>
      <c r="D88" s="1" t="s">
        <v>4</v>
      </c>
      <c r="E88" s="1">
        <v>1901</v>
      </c>
      <c r="F88" s="14">
        <f>AVERAGE(C99:C110)/100</f>
        <v>8.4024999999999999</v>
      </c>
      <c r="G88" s="2">
        <f t="shared" ref="G88:G119" si="30">F88/F87-1</f>
        <v>2.365482233502525E-2</v>
      </c>
      <c r="H88" s="2">
        <f t="shared" ref="H88:H90" si="31">ABS((J88-J87)/J87)</f>
        <v>0.12511150687945186</v>
      </c>
      <c r="I88" s="37">
        <v>1901</v>
      </c>
      <c r="J88" s="3">
        <f t="shared" si="28"/>
        <v>2230104.9288805183</v>
      </c>
      <c r="K88" s="3">
        <f t="shared" si="29"/>
        <v>2540422.2050824733</v>
      </c>
      <c r="L88" s="3">
        <f t="shared" si="27"/>
        <v>-310317.27620195504</v>
      </c>
      <c r="M88" s="2">
        <f t="shared" si="24"/>
        <v>-0.13914918180900573</v>
      </c>
      <c r="O88" s="37">
        <v>1902</v>
      </c>
      <c r="P88" s="1">
        <v>11081300</v>
      </c>
      <c r="Q88" s="1">
        <v>15171000</v>
      </c>
      <c r="T88" s="1">
        <v>1891</v>
      </c>
      <c r="U88" s="1" t="s">
        <v>26</v>
      </c>
      <c r="V88" s="1">
        <v>375</v>
      </c>
      <c r="W88" s="1">
        <v>1896</v>
      </c>
      <c r="X88" s="14">
        <f>AVERAGE(V144:V155)/100</f>
        <v>5.8791666666666664</v>
      </c>
    </row>
    <row r="89" spans="1:29">
      <c r="A89" s="1">
        <v>1900</v>
      </c>
      <c r="B89" s="1" t="s">
        <v>24</v>
      </c>
      <c r="C89" s="1">
        <v>815</v>
      </c>
      <c r="D89" s="1" t="s">
        <v>4</v>
      </c>
      <c r="E89" s="1">
        <v>1902</v>
      </c>
      <c r="F89" s="14">
        <f>AVERAGE(C111:C122)/100</f>
        <v>9.3916666666666657</v>
      </c>
      <c r="G89" s="2">
        <f t="shared" si="30"/>
        <v>0.11772289993057616</v>
      </c>
      <c r="H89" s="2">
        <f t="shared" si="31"/>
        <v>0.10165989365382354</v>
      </c>
      <c r="I89" s="37">
        <v>1902</v>
      </c>
      <c r="J89" s="3">
        <f t="shared" si="28"/>
        <v>2003392.6989736571</v>
      </c>
      <c r="K89" s="3">
        <f t="shared" si="29"/>
        <v>2361079.1028435268</v>
      </c>
      <c r="L89" s="3">
        <f t="shared" si="27"/>
        <v>-357686.40386986965</v>
      </c>
      <c r="M89" s="2">
        <f t="shared" si="24"/>
        <v>-0.17854033512906045</v>
      </c>
      <c r="O89" s="37">
        <v>1903</v>
      </c>
      <c r="P89" s="1">
        <v>15392704</v>
      </c>
      <c r="Q89" s="36"/>
      <c r="T89" s="1">
        <v>1891</v>
      </c>
      <c r="U89" s="1" t="s">
        <v>27</v>
      </c>
      <c r="V89" s="1">
        <v>380</v>
      </c>
      <c r="W89" s="1">
        <v>1897</v>
      </c>
      <c r="X89" s="14">
        <f>AVERAGE(V156:V167)/100</f>
        <v>6.7149999999999999</v>
      </c>
    </row>
    <row r="90" spans="1:29">
      <c r="A90" s="1">
        <v>1900</v>
      </c>
      <c r="B90" s="1" t="s">
        <v>25</v>
      </c>
      <c r="C90" s="1">
        <v>792</v>
      </c>
      <c r="D90" s="1" t="s">
        <v>4</v>
      </c>
      <c r="E90" s="1">
        <v>1903</v>
      </c>
      <c r="F90" s="14">
        <f>AVERAGE(C123:C134)/100</f>
        <v>9.69</v>
      </c>
      <c r="G90" s="2">
        <f t="shared" si="30"/>
        <v>3.1765749778172259E-2</v>
      </c>
      <c r="H90" s="2">
        <f t="shared" si="31"/>
        <v>0.34155325965886152</v>
      </c>
      <c r="I90" s="37">
        <v>1903</v>
      </c>
      <c r="J90" s="3">
        <f t="shared" si="28"/>
        <v>2687658.005684874</v>
      </c>
      <c r="K90" s="36" t="s">
        <v>15</v>
      </c>
      <c r="L90" s="36" t="s">
        <v>15</v>
      </c>
      <c r="M90" s="2"/>
      <c r="T90" s="1">
        <v>1891</v>
      </c>
      <c r="U90" s="1" t="s">
        <v>28</v>
      </c>
      <c r="V90" s="1">
        <v>400</v>
      </c>
      <c r="W90" s="1">
        <v>1898</v>
      </c>
      <c r="X90" s="14">
        <f>AVERAGE(V168:V179)/100</f>
        <v>7.3375000000000004</v>
      </c>
    </row>
    <row r="91" spans="1:29">
      <c r="A91" s="1">
        <v>1900</v>
      </c>
      <c r="B91" s="1" t="s">
        <v>26</v>
      </c>
      <c r="C91" s="1">
        <v>800</v>
      </c>
      <c r="D91" s="1" t="s">
        <v>4</v>
      </c>
      <c r="E91" s="1">
        <v>1904</v>
      </c>
      <c r="F91" s="14">
        <f>AVERAGE(C135:C146)/100</f>
        <v>10.190833333333334</v>
      </c>
      <c r="G91" s="2">
        <f t="shared" si="30"/>
        <v>5.168558651530808E-2</v>
      </c>
      <c r="H91" s="2"/>
      <c r="I91" s="37">
        <v>1906</v>
      </c>
      <c r="J91" s="3">
        <f t="shared" ref="J91:K91" si="32">B72*4.8</f>
        <v>2173497.6</v>
      </c>
      <c r="K91" s="3">
        <f t="shared" si="32"/>
        <v>2181907.1999999997</v>
      </c>
      <c r="L91" s="3">
        <f t="shared" ref="L91:L111" si="33">J91-K91</f>
        <v>-8409.5999999996275</v>
      </c>
      <c r="M91" s="2">
        <f t="shared" ref="M91:M111" si="34">L91/J91</f>
        <v>-3.8691554110755065E-3</v>
      </c>
      <c r="T91" s="1">
        <v>1891</v>
      </c>
      <c r="U91" s="1" t="s">
        <v>29</v>
      </c>
      <c r="V91" s="1">
        <v>400</v>
      </c>
      <c r="W91" s="1">
        <v>1899</v>
      </c>
      <c r="X91" s="14">
        <f>AVERAGE(V180:V191)/100</f>
        <v>7.2774999999999999</v>
      </c>
    </row>
    <row r="92" spans="1:29">
      <c r="A92" s="1">
        <v>1900</v>
      </c>
      <c r="B92" s="1" t="s">
        <v>27</v>
      </c>
      <c r="C92" s="1">
        <v>827</v>
      </c>
      <c r="D92" s="1" t="s">
        <v>4</v>
      </c>
      <c r="E92" s="1">
        <v>1905</v>
      </c>
      <c r="F92" s="14">
        <f>AVERAGE(C147:C158)/100</f>
        <v>10.683333333333332</v>
      </c>
      <c r="G92" s="2">
        <f t="shared" si="30"/>
        <v>4.8327745522937171E-2</v>
      </c>
      <c r="H92" s="2">
        <f t="shared" ref="H92:H111" si="35">ABS((J92-J91)/J91)</f>
        <v>0.4023479943111048</v>
      </c>
      <c r="I92" s="37">
        <v>1907</v>
      </c>
      <c r="J92" s="3">
        <f t="shared" ref="J92:K92" si="36">B73*4.8</f>
        <v>3048000</v>
      </c>
      <c r="K92" s="3">
        <f t="shared" si="36"/>
        <v>3254313.6</v>
      </c>
      <c r="L92" s="3">
        <f t="shared" si="33"/>
        <v>-206313.60000000009</v>
      </c>
      <c r="M92" s="2">
        <f t="shared" si="34"/>
        <v>-6.7688188976377989E-2</v>
      </c>
      <c r="T92" s="1">
        <v>1891</v>
      </c>
      <c r="U92" s="1" t="s">
        <v>30</v>
      </c>
      <c r="V92" s="1">
        <v>500</v>
      </c>
    </row>
    <row r="93" spans="1:29">
      <c r="A93" s="1">
        <v>1900</v>
      </c>
      <c r="B93" s="1" t="s">
        <v>28</v>
      </c>
      <c r="C93" s="1">
        <v>838</v>
      </c>
      <c r="D93" s="1" t="s">
        <v>4</v>
      </c>
      <c r="E93" s="1">
        <v>1906</v>
      </c>
      <c r="F93" s="14">
        <f>AVERAGE(C159:C170)/100</f>
        <v>11.0275</v>
      </c>
      <c r="G93" s="2">
        <f t="shared" si="30"/>
        <v>3.2215288611544546E-2</v>
      </c>
      <c r="H93" s="2">
        <f t="shared" si="35"/>
        <v>5.5388976377952787E-2</v>
      </c>
      <c r="I93" s="37">
        <v>1908</v>
      </c>
      <c r="J93" s="3">
        <f t="shared" ref="J93:K93" si="37">B75*4.8</f>
        <v>2879174.4</v>
      </c>
      <c r="K93" s="3">
        <f t="shared" si="37"/>
        <v>2431209.6</v>
      </c>
      <c r="L93" s="3">
        <f t="shared" si="33"/>
        <v>447964.79999999981</v>
      </c>
      <c r="M93" s="2">
        <f t="shared" si="34"/>
        <v>0.15558793520809291</v>
      </c>
      <c r="T93" s="1">
        <v>1891</v>
      </c>
      <c r="U93" s="1" t="s">
        <v>31</v>
      </c>
      <c r="V93" s="1">
        <v>500</v>
      </c>
      <c r="W93" s="1" t="s">
        <v>139</v>
      </c>
      <c r="X93" s="1" t="s">
        <v>140</v>
      </c>
      <c r="Z93" s="1" t="s">
        <v>141</v>
      </c>
      <c r="AA93" s="1" t="s">
        <v>142</v>
      </c>
      <c r="AB93" s="1"/>
      <c r="AC93" s="1" t="s">
        <v>143</v>
      </c>
    </row>
    <row r="94" spans="1:29">
      <c r="A94" s="1">
        <v>1900</v>
      </c>
      <c r="B94" s="1" t="s">
        <v>29</v>
      </c>
      <c r="C94" s="1">
        <v>845</v>
      </c>
      <c r="D94" s="1" t="s">
        <v>4</v>
      </c>
      <c r="E94" s="1">
        <v>1907</v>
      </c>
      <c r="F94" s="14">
        <f>AVERAGE(C171:C182)/100</f>
        <v>11.954166666666667</v>
      </c>
      <c r="G94" s="2">
        <f t="shared" si="30"/>
        <v>8.4032343383964481E-2</v>
      </c>
      <c r="H94" s="2">
        <f t="shared" si="35"/>
        <v>0.10228365269224608</v>
      </c>
      <c r="I94" s="37">
        <v>1909</v>
      </c>
      <c r="J94" s="3">
        <f t="shared" ref="J94:J113" si="38">E43+D43/F96</f>
        <v>2584681.9256299939</v>
      </c>
      <c r="K94" s="3">
        <f t="shared" ref="K94:K111" si="39">C43+B43/F96</f>
        <v>2820876.527965581</v>
      </c>
      <c r="L94" s="3">
        <f t="shared" si="33"/>
        <v>-236194.60233558714</v>
      </c>
      <c r="M94" s="2">
        <f t="shared" si="34"/>
        <v>-9.1382463735075165E-2</v>
      </c>
      <c r="T94" s="1">
        <v>1891</v>
      </c>
      <c r="U94" s="1" t="s">
        <v>32</v>
      </c>
      <c r="V94" s="1">
        <v>470</v>
      </c>
      <c r="W94" s="1">
        <v>1860</v>
      </c>
      <c r="Y94" s="1">
        <v>223238</v>
      </c>
    </row>
    <row r="95" spans="1:29">
      <c r="A95" s="1">
        <v>1900</v>
      </c>
      <c r="B95" s="1" t="s">
        <v>30</v>
      </c>
      <c r="C95" s="1">
        <v>840</v>
      </c>
      <c r="D95" s="1" t="s">
        <v>4</v>
      </c>
      <c r="E95" s="1">
        <v>1908</v>
      </c>
      <c r="F95" s="14">
        <f>AVERAGE(C183:C194)/100</f>
        <v>14.534166666666668</v>
      </c>
      <c r="G95" s="2">
        <f t="shared" si="30"/>
        <v>0.21582432903450677</v>
      </c>
      <c r="H95" s="2">
        <f t="shared" si="35"/>
        <v>0.14389871826286285</v>
      </c>
      <c r="I95" s="37">
        <v>1910</v>
      </c>
      <c r="J95" s="3">
        <f t="shared" si="38"/>
        <v>2956614.3418453382</v>
      </c>
      <c r="K95" s="3">
        <f t="shared" si="39"/>
        <v>2747879.1021440616</v>
      </c>
      <c r="L95" s="3">
        <f t="shared" si="33"/>
        <v>208735.23970127665</v>
      </c>
      <c r="M95" s="2">
        <f t="shared" si="34"/>
        <v>7.0599413913076281E-2</v>
      </c>
      <c r="T95" s="1">
        <v>1891</v>
      </c>
      <c r="U95" s="1" t="s">
        <v>33</v>
      </c>
      <c r="V95" s="1">
        <v>430</v>
      </c>
      <c r="W95" s="1">
        <v>1861</v>
      </c>
      <c r="Y95" s="1">
        <v>233036</v>
      </c>
    </row>
    <row r="96" spans="1:29">
      <c r="A96" s="1">
        <v>1900</v>
      </c>
      <c r="B96" s="1" t="s">
        <v>31</v>
      </c>
      <c r="C96" s="1">
        <v>834</v>
      </c>
      <c r="D96" s="1" t="s">
        <v>4</v>
      </c>
      <c r="E96" s="1">
        <v>1909</v>
      </c>
      <c r="F96" s="14">
        <f>AVERAGE(C195:C206)/100</f>
        <v>16.27</v>
      </c>
      <c r="G96" s="2">
        <f t="shared" si="30"/>
        <v>0.11943122527378014</v>
      </c>
      <c r="H96" s="2">
        <f t="shared" si="35"/>
        <v>5.2255047001795174E-2</v>
      </c>
      <c r="I96" s="37">
        <v>1911</v>
      </c>
      <c r="J96" s="3">
        <f t="shared" si="38"/>
        <v>3111112.3632446481</v>
      </c>
      <c r="K96" s="3">
        <f t="shared" si="39"/>
        <v>4965111.2578483</v>
      </c>
      <c r="L96" s="3">
        <f t="shared" si="33"/>
        <v>-1853998.8946036519</v>
      </c>
      <c r="M96" s="2">
        <f t="shared" si="34"/>
        <v>-0.59592797627857952</v>
      </c>
      <c r="O96" s="9">
        <v>1891</v>
      </c>
      <c r="P96" s="2">
        <f t="shared" ref="P96:Q96" si="40">FORECAST(O96,P$114:P$131,O$114:O$131)</f>
        <v>0.12216016029002041</v>
      </c>
      <c r="Q96" s="2">
        <f t="shared" si="40"/>
        <v>7.9253981935643189E-2</v>
      </c>
      <c r="T96" s="1">
        <v>1892</v>
      </c>
      <c r="U96" s="1" t="s">
        <v>22</v>
      </c>
      <c r="V96" s="1">
        <v>454</v>
      </c>
      <c r="W96" s="1">
        <v>1862</v>
      </c>
      <c r="Y96" s="1">
        <v>243264</v>
      </c>
    </row>
    <row r="97" spans="1:25">
      <c r="A97" s="1">
        <v>1900</v>
      </c>
      <c r="B97" s="1" t="s">
        <v>32</v>
      </c>
      <c r="C97" s="1">
        <v>815</v>
      </c>
      <c r="D97" s="1" t="s">
        <v>4</v>
      </c>
      <c r="E97" s="1">
        <v>1910</v>
      </c>
      <c r="F97" s="14">
        <f>AVERAGE(C207:C218)/100</f>
        <v>13.836666666666668</v>
      </c>
      <c r="G97" s="2">
        <f t="shared" si="30"/>
        <v>-0.14955951649252197</v>
      </c>
      <c r="H97" s="2">
        <f t="shared" si="35"/>
        <v>5.9029913209990736E-2</v>
      </c>
      <c r="I97" s="37">
        <v>1912</v>
      </c>
      <c r="J97" s="3">
        <f t="shared" si="38"/>
        <v>2927463.6704557873</v>
      </c>
      <c r="K97" s="3">
        <f t="shared" si="39"/>
        <v>4899183.0240463438</v>
      </c>
      <c r="L97" s="3">
        <f t="shared" si="33"/>
        <v>-1971719.3535905564</v>
      </c>
      <c r="M97" s="2">
        <f t="shared" si="34"/>
        <v>-0.67352478990237041</v>
      </c>
      <c r="O97" s="9">
        <v>1892</v>
      </c>
      <c r="P97" s="2">
        <f t="shared" ref="P97:Q97" si="41">FORECAST(O97,P$114:P$131,O$114:O$131)</f>
        <v>0.11861547340733569</v>
      </c>
      <c r="Q97" s="2">
        <f t="shared" si="41"/>
        <v>7.7050087963585659E-2</v>
      </c>
      <c r="T97" s="1">
        <v>1892</v>
      </c>
      <c r="U97" s="1" t="s">
        <v>23</v>
      </c>
      <c r="V97" s="1">
        <v>470</v>
      </c>
      <c r="W97" s="1">
        <v>1863</v>
      </c>
      <c r="Y97" s="1">
        <v>253941</v>
      </c>
    </row>
    <row r="98" spans="1:25">
      <c r="A98" s="1">
        <v>1900</v>
      </c>
      <c r="B98" s="1" t="s">
        <v>33</v>
      </c>
      <c r="C98" s="1">
        <v>800</v>
      </c>
      <c r="D98" s="1" t="s">
        <v>4</v>
      </c>
      <c r="E98" s="1">
        <v>1911</v>
      </c>
      <c r="F98" s="14">
        <f>AVERAGE(C219:C230)/100</f>
        <v>12.184166666666668</v>
      </c>
      <c r="G98" s="2">
        <f t="shared" si="30"/>
        <v>-0.11942905324018305</v>
      </c>
      <c r="H98" s="2">
        <f t="shared" si="35"/>
        <v>0.40538896417068893</v>
      </c>
      <c r="I98" s="37">
        <v>1913</v>
      </c>
      <c r="J98" s="3">
        <f t="shared" si="38"/>
        <v>4114225.1354691819</v>
      </c>
      <c r="K98" s="3">
        <f t="shared" si="39"/>
        <v>4911033.563343633</v>
      </c>
      <c r="L98" s="3">
        <f t="shared" si="33"/>
        <v>-796808.42787445104</v>
      </c>
      <c r="M98" s="2">
        <f t="shared" si="34"/>
        <v>-0.19367156673199018</v>
      </c>
      <c r="O98" s="9">
        <v>1893</v>
      </c>
      <c r="P98" s="2">
        <f t="shared" ref="P98:Q98" si="42">FORECAST(O98,P$114:P$131,O$114:O$131)</f>
        <v>0.11507078652465097</v>
      </c>
      <c r="Q98" s="2">
        <f t="shared" si="42"/>
        <v>7.4846193991528115E-2</v>
      </c>
      <c r="T98" s="1">
        <v>1892</v>
      </c>
      <c r="U98" s="1" t="s">
        <v>24</v>
      </c>
      <c r="V98" s="1">
        <v>490</v>
      </c>
      <c r="W98" s="1">
        <v>1864</v>
      </c>
      <c r="Y98" s="1">
        <v>265087</v>
      </c>
    </row>
    <row r="99" spans="1:25">
      <c r="A99" s="1">
        <v>1901</v>
      </c>
      <c r="B99" s="1" t="s">
        <v>22</v>
      </c>
      <c r="C99" s="1">
        <v>793</v>
      </c>
      <c r="D99" s="1" t="s">
        <v>4</v>
      </c>
      <c r="E99" s="1">
        <v>1912</v>
      </c>
      <c r="F99" s="14">
        <f>AVERAGE(C231:C242)/100</f>
        <v>15.248333333333333</v>
      </c>
      <c r="G99" s="2">
        <f t="shared" si="30"/>
        <v>0.25148758634840274</v>
      </c>
      <c r="H99" s="2">
        <f t="shared" si="35"/>
        <v>0.33083737381758133</v>
      </c>
      <c r="I99" s="37">
        <v>1914</v>
      </c>
      <c r="J99" s="3">
        <f t="shared" si="38"/>
        <v>2753085.6963562751</v>
      </c>
      <c r="K99" s="3">
        <f t="shared" si="39"/>
        <v>3845773.2105263155</v>
      </c>
      <c r="L99" s="3">
        <f t="shared" si="33"/>
        <v>-1092687.5141700404</v>
      </c>
      <c r="M99" s="2">
        <f t="shared" si="34"/>
        <v>-0.39689556907589857</v>
      </c>
      <c r="O99" s="9">
        <v>1894</v>
      </c>
      <c r="P99" s="2">
        <f t="shared" ref="P99:Q99" si="43">FORECAST(O99,P$114:P$131,O$114:O$131)</f>
        <v>0.11152609964196625</v>
      </c>
      <c r="Q99" s="2">
        <f t="shared" si="43"/>
        <v>7.2642300019470571E-2</v>
      </c>
      <c r="T99" s="1">
        <v>1892</v>
      </c>
      <c r="U99" s="1" t="s">
        <v>25</v>
      </c>
      <c r="V99" s="1">
        <v>540</v>
      </c>
      <c r="W99" s="1">
        <v>1865</v>
      </c>
      <c r="Y99" s="1">
        <v>276722</v>
      </c>
    </row>
    <row r="100" spans="1:25">
      <c r="A100" s="1">
        <v>1901</v>
      </c>
      <c r="B100" s="1" t="s">
        <v>23</v>
      </c>
      <c r="C100" s="1">
        <v>789</v>
      </c>
      <c r="D100" s="1" t="s">
        <v>4</v>
      </c>
      <c r="E100" s="1">
        <v>1913</v>
      </c>
      <c r="F100" s="14">
        <f>AVERAGE(C243:C254)/100</f>
        <v>15.3725</v>
      </c>
      <c r="G100" s="2">
        <f t="shared" si="30"/>
        <v>8.1429664444201411E-3</v>
      </c>
      <c r="H100" s="2">
        <f t="shared" si="35"/>
        <v>0.48977266780645329</v>
      </c>
      <c r="I100" s="37">
        <v>1915</v>
      </c>
      <c r="J100" s="3">
        <f t="shared" si="38"/>
        <v>1404699.570152075</v>
      </c>
      <c r="K100" s="3">
        <f t="shared" si="39"/>
        <v>3043076.4240054986</v>
      </c>
      <c r="L100" s="3">
        <f t="shared" si="33"/>
        <v>-1638376.8538534236</v>
      </c>
      <c r="M100" s="2">
        <f t="shared" si="34"/>
        <v>-1.1663539226939823</v>
      </c>
      <c r="O100" s="9">
        <v>1895</v>
      </c>
      <c r="P100" s="2">
        <f t="shared" ref="P100:Q100" si="44">FORECAST(O100,P$114:P$131,O$114:O$131)</f>
        <v>0.10798141275928064</v>
      </c>
      <c r="Q100" s="2">
        <f t="shared" si="44"/>
        <v>7.0438406047412486E-2</v>
      </c>
      <c r="T100" s="1">
        <v>1892</v>
      </c>
      <c r="U100" s="1" t="s">
        <v>26</v>
      </c>
      <c r="V100" s="1">
        <v>645</v>
      </c>
      <c r="W100" s="1">
        <v>1866</v>
      </c>
      <c r="Y100" s="1">
        <v>288868</v>
      </c>
    </row>
    <row r="101" spans="1:25">
      <c r="A101" s="1">
        <v>1901</v>
      </c>
      <c r="B101" s="1" t="s">
        <v>24</v>
      </c>
      <c r="C101" s="1">
        <v>790</v>
      </c>
      <c r="D101" s="1" t="s">
        <v>4</v>
      </c>
      <c r="E101" s="1">
        <v>1914</v>
      </c>
      <c r="F101" s="14">
        <f>AVERAGE(C255:C266)/100</f>
        <v>20.583333333333336</v>
      </c>
      <c r="G101" s="2">
        <f t="shared" si="30"/>
        <v>0.33897110641296702</v>
      </c>
      <c r="H101" s="2">
        <f t="shared" si="35"/>
        <v>0.73261801900745727</v>
      </c>
      <c r="I101" s="37">
        <v>1916</v>
      </c>
      <c r="J101" s="3">
        <f t="shared" si="38"/>
        <v>2433807.786537515</v>
      </c>
      <c r="K101" s="3">
        <f t="shared" si="39"/>
        <v>2783406.7448136536</v>
      </c>
      <c r="L101" s="3">
        <f t="shared" si="33"/>
        <v>-349598.95827613864</v>
      </c>
      <c r="M101" s="2">
        <f t="shared" si="34"/>
        <v>-0.14364279718798159</v>
      </c>
      <c r="O101" s="9">
        <v>1896</v>
      </c>
      <c r="P101" s="2">
        <f t="shared" ref="P101:Q101" si="45">FORECAST(O101,P$114:P$131,O$114:O$131)</f>
        <v>0.10443672587659591</v>
      </c>
      <c r="Q101" s="2">
        <f t="shared" si="45"/>
        <v>6.8234512075354942E-2</v>
      </c>
      <c r="T101" s="1">
        <v>1892</v>
      </c>
      <c r="U101" s="1" t="s">
        <v>27</v>
      </c>
      <c r="V101" s="1">
        <v>615</v>
      </c>
      <c r="W101" s="1">
        <v>1867</v>
      </c>
      <c r="Y101" s="1">
        <v>301546</v>
      </c>
    </row>
    <row r="102" spans="1:25">
      <c r="A102" s="1">
        <v>1901</v>
      </c>
      <c r="B102" s="1" t="s">
        <v>25</v>
      </c>
      <c r="C102" s="1">
        <v>790</v>
      </c>
      <c r="D102" s="1" t="s">
        <v>4</v>
      </c>
      <c r="E102" s="1">
        <v>1915</v>
      </c>
      <c r="F102" s="14">
        <f>AVERAGE(C267:C278)/100</f>
        <v>38.796666666666667</v>
      </c>
      <c r="G102" s="2">
        <f t="shared" si="30"/>
        <v>0.88485829959514151</v>
      </c>
      <c r="H102" s="2">
        <f t="shared" si="35"/>
        <v>0.16664279482873329</v>
      </c>
      <c r="I102" s="37">
        <v>1917</v>
      </c>
      <c r="J102" s="3">
        <f t="shared" si="38"/>
        <v>2028231.2549129704</v>
      </c>
      <c r="K102" s="3">
        <f t="shared" si="39"/>
        <v>1905832.3576642338</v>
      </c>
      <c r="L102" s="3">
        <f t="shared" si="33"/>
        <v>122398.89724873658</v>
      </c>
      <c r="M102" s="2">
        <f t="shared" si="34"/>
        <v>6.0347604323841571E-2</v>
      </c>
      <c r="O102" s="9">
        <v>1897</v>
      </c>
      <c r="P102" s="2">
        <f t="shared" ref="P102:Q102" si="46">FORECAST(O102,P$114:P$131,O$114:O$131)</f>
        <v>0.10089203899391119</v>
      </c>
      <c r="Q102" s="2">
        <f t="shared" si="46"/>
        <v>6.6030618103297398E-2</v>
      </c>
      <c r="T102" s="1">
        <v>1892</v>
      </c>
      <c r="U102" s="1" t="s">
        <v>28</v>
      </c>
      <c r="V102" s="1">
        <v>624</v>
      </c>
      <c r="W102" s="1">
        <v>1868</v>
      </c>
      <c r="Y102" s="1">
        <v>314871</v>
      </c>
    </row>
    <row r="103" spans="1:25">
      <c r="A103" s="1">
        <v>1901</v>
      </c>
      <c r="B103" s="1" t="s">
        <v>26</v>
      </c>
      <c r="C103" s="1">
        <v>785</v>
      </c>
      <c r="D103" s="1" t="s">
        <v>4</v>
      </c>
      <c r="E103" s="1">
        <v>1916</v>
      </c>
      <c r="F103" s="14">
        <f>AVERAGE(C279:C290)/100</f>
        <v>32.175833333333337</v>
      </c>
      <c r="G103" s="2">
        <f t="shared" si="30"/>
        <v>-0.17065469542056866</v>
      </c>
      <c r="H103" s="2">
        <f t="shared" si="35"/>
        <v>1.2471487764256575</v>
      </c>
      <c r="I103" s="37">
        <v>1918</v>
      </c>
      <c r="J103" s="3">
        <f t="shared" si="38"/>
        <v>4557737.3827859573</v>
      </c>
      <c r="K103" s="3">
        <f t="shared" si="39"/>
        <v>4284200.0554926386</v>
      </c>
      <c r="L103" s="3">
        <f t="shared" si="33"/>
        <v>273537.3272933187</v>
      </c>
      <c r="M103" s="2">
        <f t="shared" si="34"/>
        <v>6.0016035220993053E-2</v>
      </c>
      <c r="O103" s="9">
        <v>1898</v>
      </c>
      <c r="P103" s="2">
        <f t="shared" ref="P103:Q103" si="47">FORECAST(O103,P$114:P$131,O$114:O$131)</f>
        <v>9.7347352111226471E-2</v>
      </c>
      <c r="Q103" s="2">
        <f t="shared" si="47"/>
        <v>6.3826724131239854E-2</v>
      </c>
      <c r="T103" s="1">
        <v>1892</v>
      </c>
      <c r="U103" s="1" t="s">
        <v>29</v>
      </c>
      <c r="V103" s="1">
        <v>660</v>
      </c>
      <c r="W103" s="1">
        <v>1869</v>
      </c>
      <c r="Y103" s="1">
        <v>328598</v>
      </c>
    </row>
    <row r="104" spans="1:25">
      <c r="A104" s="1">
        <v>1901</v>
      </c>
      <c r="B104" s="1" t="s">
        <v>27</v>
      </c>
      <c r="C104" s="1">
        <v>820</v>
      </c>
      <c r="D104" s="1" t="s">
        <v>4</v>
      </c>
      <c r="E104" s="1">
        <v>1917</v>
      </c>
      <c r="F104" s="14">
        <f>AVERAGE(C291:C302)/100</f>
        <v>35.619999999999997</v>
      </c>
      <c r="G104" s="2">
        <f t="shared" si="30"/>
        <v>0.10704203465333695</v>
      </c>
      <c r="H104" s="2">
        <f t="shared" si="35"/>
        <v>0.13099644929231488</v>
      </c>
      <c r="I104" s="37">
        <v>1919</v>
      </c>
      <c r="J104" s="3">
        <f t="shared" si="38"/>
        <v>5154784.7967377659</v>
      </c>
      <c r="K104" s="3">
        <f t="shared" si="39"/>
        <v>6064877.8626994081</v>
      </c>
      <c r="L104" s="3">
        <f t="shared" si="33"/>
        <v>-910093.06596164219</v>
      </c>
      <c r="M104" s="2">
        <f t="shared" si="34"/>
        <v>-0.17655306707228585</v>
      </c>
      <c r="O104" s="9">
        <v>1899</v>
      </c>
      <c r="P104" s="2">
        <f t="shared" ref="P104:Q104" si="48">FORECAST(O104,P$114:P$131,O$114:O$131)</f>
        <v>9.3802665228541748E-2</v>
      </c>
      <c r="Q104" s="2">
        <f t="shared" si="48"/>
        <v>6.1622830159182324E-2</v>
      </c>
      <c r="T104" s="1">
        <v>1892</v>
      </c>
      <c r="U104" s="1" t="s">
        <v>30</v>
      </c>
      <c r="V104" s="1">
        <v>666</v>
      </c>
      <c r="W104" s="1">
        <v>1870</v>
      </c>
      <c r="Y104" s="1">
        <v>343020</v>
      </c>
    </row>
    <row r="105" spans="1:25">
      <c r="A105" s="1">
        <v>1901</v>
      </c>
      <c r="B105" s="1" t="s">
        <v>28</v>
      </c>
      <c r="C105" s="1">
        <v>865</v>
      </c>
      <c r="D105" s="1" t="s">
        <v>4</v>
      </c>
      <c r="E105" s="1">
        <v>1918</v>
      </c>
      <c r="F105" s="14">
        <f>AVERAGE(C303:C314)/100</f>
        <v>29.433333333333334</v>
      </c>
      <c r="G105" s="2">
        <f t="shared" si="30"/>
        <v>-0.17368519558300577</v>
      </c>
      <c r="H105" s="2">
        <f t="shared" si="35"/>
        <v>0.58657962765998028</v>
      </c>
      <c r="I105" s="37">
        <v>1920</v>
      </c>
      <c r="J105" s="3">
        <f t="shared" si="38"/>
        <v>2131093.0499999998</v>
      </c>
      <c r="K105" s="3">
        <f t="shared" si="39"/>
        <v>2515067.2374999998</v>
      </c>
      <c r="L105" s="3">
        <f t="shared" si="33"/>
        <v>-383974.1875</v>
      </c>
      <c r="M105" s="2">
        <f t="shared" si="34"/>
        <v>-0.18017711028619798</v>
      </c>
      <c r="O105" s="9">
        <v>1900</v>
      </c>
      <c r="P105" s="2">
        <f t="shared" ref="P105:Q105" si="49">FORECAST(O105,P$114:P$131,O$114:O$131)</f>
        <v>9.0257978345856138E-2</v>
      </c>
      <c r="Q105" s="2">
        <f t="shared" si="49"/>
        <v>5.9418936187124224E-2</v>
      </c>
      <c r="T105" s="1">
        <v>1892</v>
      </c>
      <c r="U105" s="1" t="s">
        <v>31</v>
      </c>
      <c r="V105" s="1">
        <v>600</v>
      </c>
      <c r="W105" s="1">
        <v>1871</v>
      </c>
      <c r="Y105" s="1">
        <v>353530</v>
      </c>
    </row>
    <row r="106" spans="1:25">
      <c r="A106" s="1">
        <v>1901</v>
      </c>
      <c r="B106" s="1" t="s">
        <v>29</v>
      </c>
      <c r="C106" s="1">
        <v>870</v>
      </c>
      <c r="D106" s="1" t="s">
        <v>4</v>
      </c>
      <c r="E106" s="1">
        <v>1919</v>
      </c>
      <c r="F106" s="14">
        <f>AVERAGE(C315:C326)/100</f>
        <v>18.596666666666668</v>
      </c>
      <c r="G106" s="2">
        <f t="shared" si="30"/>
        <v>-0.36817667044167612</v>
      </c>
      <c r="H106" s="2">
        <f t="shared" si="35"/>
        <v>0.59553264572376652</v>
      </c>
      <c r="I106" s="37">
        <v>1921</v>
      </c>
      <c r="J106" s="3">
        <f t="shared" si="38"/>
        <v>3400228.5323500307</v>
      </c>
      <c r="K106" s="3">
        <f t="shared" si="39"/>
        <v>3341672.1607841291</v>
      </c>
      <c r="L106" s="3">
        <f t="shared" si="33"/>
        <v>58556.371565901674</v>
      </c>
      <c r="M106" s="2">
        <f t="shared" si="34"/>
        <v>1.722130468843254E-2</v>
      </c>
      <c r="O106" s="9">
        <v>1901</v>
      </c>
      <c r="P106" s="2">
        <f t="shared" ref="P106:Q106" si="50">FORECAST(O106,P$114:P$131,O$114:O$131)</f>
        <v>8.6713291463171416E-2</v>
      </c>
      <c r="Q106" s="2">
        <f t="shared" si="50"/>
        <v>5.721504221506668E-2</v>
      </c>
      <c r="T106" s="1">
        <v>1892</v>
      </c>
      <c r="U106" s="1" t="s">
        <v>32</v>
      </c>
      <c r="V106" s="1">
        <v>595</v>
      </c>
      <c r="W106" s="1">
        <v>1872</v>
      </c>
      <c r="Y106" s="1">
        <v>364363</v>
      </c>
    </row>
    <row r="107" spans="1:25">
      <c r="A107" s="1">
        <v>1901</v>
      </c>
      <c r="B107" s="1" t="s">
        <v>30</v>
      </c>
      <c r="C107" s="1">
        <v>864</v>
      </c>
      <c r="D107" s="1" t="s">
        <v>4</v>
      </c>
      <c r="E107" s="1">
        <v>1920</v>
      </c>
      <c r="F107" s="14">
        <f>AVERAGE(C327:C338)/100</f>
        <v>26.666666666666664</v>
      </c>
      <c r="G107" s="2">
        <f t="shared" si="30"/>
        <v>0.43394873633267594</v>
      </c>
      <c r="H107" s="2">
        <f t="shared" si="35"/>
        <v>0.19207922529517898</v>
      </c>
      <c r="I107" s="37">
        <v>1922</v>
      </c>
      <c r="J107" s="3">
        <f t="shared" si="38"/>
        <v>2747115.2700296734</v>
      </c>
      <c r="K107" s="3">
        <f t="shared" si="39"/>
        <v>3421315.9376854599</v>
      </c>
      <c r="L107" s="3">
        <f t="shared" si="33"/>
        <v>-674200.6676557865</v>
      </c>
      <c r="M107" s="2">
        <f t="shared" si="34"/>
        <v>-0.24542132432924957</v>
      </c>
      <c r="O107" s="9">
        <v>1902</v>
      </c>
      <c r="P107" s="2">
        <f t="shared" ref="P107:Q107" si="51">FORECAST(O107,P$114:P$131,O$114:O$131)</f>
        <v>8.3168604580486694E-2</v>
      </c>
      <c r="Q107" s="2">
        <f t="shared" si="51"/>
        <v>5.501114824300915E-2</v>
      </c>
      <c r="T107" s="1">
        <v>1892</v>
      </c>
      <c r="U107" s="1" t="s">
        <v>33</v>
      </c>
      <c r="V107" s="1">
        <v>545</v>
      </c>
      <c r="W107" s="1">
        <v>1873</v>
      </c>
      <c r="Y107" s="1">
        <v>375527</v>
      </c>
    </row>
    <row r="108" spans="1:25">
      <c r="A108" s="1">
        <v>1901</v>
      </c>
      <c r="B108" s="1" t="s">
        <v>31</v>
      </c>
      <c r="C108" s="1">
        <v>885</v>
      </c>
      <c r="D108" s="1" t="s">
        <v>4</v>
      </c>
      <c r="E108" s="1">
        <v>1921</v>
      </c>
      <c r="F108" s="14">
        <f>AVERAGE(C339:C350)/100</f>
        <v>35.368333333333332</v>
      </c>
      <c r="G108" s="2">
        <f t="shared" si="30"/>
        <v>0.32631250000000001</v>
      </c>
      <c r="H108" s="2">
        <f t="shared" si="35"/>
        <v>0.23362061977556281</v>
      </c>
      <c r="I108" s="37">
        <v>1923</v>
      </c>
      <c r="J108" s="3">
        <f t="shared" si="38"/>
        <v>3388898.0420089182</v>
      </c>
      <c r="K108" s="3">
        <f t="shared" si="39"/>
        <v>3529018.9220840177</v>
      </c>
      <c r="L108" s="3">
        <f t="shared" si="33"/>
        <v>-140120.88007509941</v>
      </c>
      <c r="M108" s="2">
        <f t="shared" si="34"/>
        <v>-4.134703326513671E-2</v>
      </c>
      <c r="O108" s="9">
        <v>1903</v>
      </c>
      <c r="P108" s="2">
        <f t="shared" ref="P108:Q108" si="52">FORECAST(O108,P$114:P$131,O$114:O$131)</f>
        <v>7.9623917697801971E-2</v>
      </c>
      <c r="Q108" s="2">
        <f t="shared" si="52"/>
        <v>5.2807254270951606E-2</v>
      </c>
      <c r="T108" s="1">
        <v>1893</v>
      </c>
      <c r="U108" s="1" t="s">
        <v>22</v>
      </c>
      <c r="V108" s="1">
        <v>540</v>
      </c>
      <c r="W108" s="1">
        <v>1874</v>
      </c>
      <c r="Y108" s="1">
        <v>387034</v>
      </c>
    </row>
    <row r="109" spans="1:25">
      <c r="A109" s="1">
        <v>1901</v>
      </c>
      <c r="B109" s="1" t="s">
        <v>32</v>
      </c>
      <c r="C109" s="1">
        <v>910</v>
      </c>
      <c r="D109" s="1" t="s">
        <v>4</v>
      </c>
      <c r="E109" s="1">
        <v>1922</v>
      </c>
      <c r="F109" s="14">
        <f>AVERAGE(C351:C362)/100</f>
        <v>42.125</v>
      </c>
      <c r="G109" s="2">
        <f t="shared" si="30"/>
        <v>0.19103718015173654</v>
      </c>
      <c r="H109" s="2">
        <f t="shared" si="35"/>
        <v>0.31187702166512893</v>
      </c>
      <c r="I109" s="37">
        <v>1924</v>
      </c>
      <c r="J109" s="3">
        <f t="shared" si="38"/>
        <v>4445817.4700774467</v>
      </c>
      <c r="K109" s="3">
        <f t="shared" si="39"/>
        <v>4416367.49245717</v>
      </c>
      <c r="L109" s="3">
        <f t="shared" si="33"/>
        <v>29449.977620276622</v>
      </c>
      <c r="M109" s="2">
        <f t="shared" si="34"/>
        <v>6.6241985458219002E-3</v>
      </c>
      <c r="O109" s="9">
        <v>1904</v>
      </c>
      <c r="P109" s="2">
        <f t="shared" ref="P109:Q109" si="53">FORECAST(O109,P$114:P$131,O$114:O$131)</f>
        <v>7.6079230815117249E-2</v>
      </c>
      <c r="Q109" s="2">
        <f t="shared" si="53"/>
        <v>5.0603360298894062E-2</v>
      </c>
      <c r="T109" s="1">
        <v>1893</v>
      </c>
      <c r="U109" s="1" t="s">
        <v>23</v>
      </c>
      <c r="V109" s="1">
        <v>590</v>
      </c>
      <c r="W109" s="1">
        <v>1875</v>
      </c>
      <c r="Y109" s="1">
        <v>398893</v>
      </c>
    </row>
    <row r="110" spans="1:25">
      <c r="A110" s="1">
        <v>1901</v>
      </c>
      <c r="B110" s="1" t="s">
        <v>33</v>
      </c>
      <c r="C110" s="1">
        <v>922</v>
      </c>
      <c r="D110" s="1" t="s">
        <v>4</v>
      </c>
      <c r="E110" s="1">
        <v>1923</v>
      </c>
      <c r="F110" s="14">
        <v>42.61</v>
      </c>
      <c r="G110" s="2">
        <f t="shared" si="30"/>
        <v>1.1513353115726987E-2</v>
      </c>
      <c r="H110" s="2">
        <f t="shared" si="35"/>
        <v>0.20230835621592613</v>
      </c>
      <c r="I110" s="37">
        <v>1925</v>
      </c>
      <c r="J110" s="3">
        <f t="shared" si="38"/>
        <v>5345243.4944848623</v>
      </c>
      <c r="K110" s="3">
        <f t="shared" si="39"/>
        <v>5343667.3399765315</v>
      </c>
      <c r="L110" s="3">
        <f t="shared" si="33"/>
        <v>1576.1545083308592</v>
      </c>
      <c r="M110" s="2">
        <f t="shared" si="34"/>
        <v>2.9487047876436509E-4</v>
      </c>
      <c r="O110" s="9">
        <v>1905</v>
      </c>
      <c r="P110" s="2">
        <f t="shared" ref="P110:Q110" si="54">FORECAST(O110,P$114:P$131,O$114:O$131)</f>
        <v>7.2534543932432527E-2</v>
      </c>
      <c r="Q110" s="2">
        <f t="shared" si="54"/>
        <v>4.8399466326836518E-2</v>
      </c>
      <c r="T110" s="1">
        <v>1893</v>
      </c>
      <c r="U110" s="1" t="s">
        <v>24</v>
      </c>
      <c r="V110" s="1">
        <v>600</v>
      </c>
      <c r="W110" s="1">
        <v>1876</v>
      </c>
      <c r="Y110" s="1">
        <v>411116</v>
      </c>
    </row>
    <row r="111" spans="1:25">
      <c r="A111" s="1">
        <v>1902</v>
      </c>
      <c r="B111" s="1" t="s">
        <v>22</v>
      </c>
      <c r="C111" s="1">
        <v>925</v>
      </c>
      <c r="D111" s="1" t="s">
        <v>4</v>
      </c>
      <c r="E111" s="1">
        <v>1924</v>
      </c>
      <c r="F111" s="14">
        <v>42.61</v>
      </c>
      <c r="G111" s="2">
        <f t="shared" si="30"/>
        <v>0</v>
      </c>
      <c r="H111" s="2">
        <f t="shared" si="35"/>
        <v>0.14172391298979028</v>
      </c>
      <c r="I111" s="37">
        <v>1926</v>
      </c>
      <c r="J111" s="3">
        <f t="shared" si="38"/>
        <v>6102792.3184064776</v>
      </c>
      <c r="K111" s="3">
        <f t="shared" si="39"/>
        <v>6102645.4246561844</v>
      </c>
      <c r="L111" s="3">
        <f t="shared" si="33"/>
        <v>146.89375029318035</v>
      </c>
      <c r="M111" s="2">
        <f t="shared" si="34"/>
        <v>2.4069924491799896E-5</v>
      </c>
      <c r="O111" s="9">
        <v>1906</v>
      </c>
      <c r="P111" s="2">
        <f t="shared" ref="P111:Q111" si="55">FORECAST(O111,P$114:P$131,O$114:O$131)</f>
        <v>6.8989857049746917E-2</v>
      </c>
      <c r="Q111" s="2">
        <f t="shared" si="55"/>
        <v>4.6195572354778433E-2</v>
      </c>
      <c r="T111" s="1">
        <v>1893</v>
      </c>
      <c r="U111" s="1" t="s">
        <v>25</v>
      </c>
      <c r="V111" s="1">
        <v>600</v>
      </c>
      <c r="W111" s="1">
        <v>1877</v>
      </c>
      <c r="Y111" s="1">
        <v>423712</v>
      </c>
    </row>
    <row r="112" spans="1:25">
      <c r="A112" s="1">
        <v>1902</v>
      </c>
      <c r="B112" s="1" t="s">
        <v>23</v>
      </c>
      <c r="C112" s="1">
        <v>930</v>
      </c>
      <c r="D112" s="1" t="s">
        <v>4</v>
      </c>
      <c r="E112" s="1">
        <v>1925</v>
      </c>
      <c r="F112" s="14">
        <v>42.61</v>
      </c>
      <c r="G112" s="2">
        <f t="shared" si="30"/>
        <v>0</v>
      </c>
      <c r="H112" s="2"/>
      <c r="I112" s="1">
        <v>1928</v>
      </c>
      <c r="J112" s="3">
        <f t="shared" si="38"/>
        <v>6828600.3565383721</v>
      </c>
      <c r="O112" s="9">
        <v>1907</v>
      </c>
      <c r="P112" s="2">
        <f t="shared" ref="P112:Q112" si="56">FORECAST(O112,P$114:P$131,O$114:O$131)</f>
        <v>6.5445170167062194E-2</v>
      </c>
      <c r="Q112" s="2">
        <f t="shared" si="56"/>
        <v>4.3991678382720889E-2</v>
      </c>
      <c r="T112" s="1">
        <v>1893</v>
      </c>
      <c r="U112" s="1" t="s">
        <v>26</v>
      </c>
      <c r="V112" s="1">
        <v>600</v>
      </c>
      <c r="W112" s="1">
        <v>1878</v>
      </c>
      <c r="Y112" s="1">
        <v>436695</v>
      </c>
    </row>
    <row r="113" spans="1:29">
      <c r="A113" s="1">
        <v>1902</v>
      </c>
      <c r="B113" s="1" t="s">
        <v>24</v>
      </c>
      <c r="C113" s="1">
        <v>940</v>
      </c>
      <c r="D113" s="1" t="s">
        <v>4</v>
      </c>
      <c r="E113" s="1">
        <v>1926</v>
      </c>
      <c r="F113" s="14">
        <v>42.61</v>
      </c>
      <c r="G113" s="2">
        <f t="shared" si="30"/>
        <v>0</v>
      </c>
      <c r="H113" s="2">
        <f>ABS((J113-J112)/J112)</f>
        <v>2.6845078469464337E-2</v>
      </c>
      <c r="I113" s="1">
        <v>1929</v>
      </c>
      <c r="J113" s="3">
        <f t="shared" si="38"/>
        <v>7011914.6689462569</v>
      </c>
      <c r="K113" s="2">
        <f>(J113/J68)^(1/(I113-I68))</f>
        <v>1.0463597942540828</v>
      </c>
      <c r="O113" s="9">
        <v>1908</v>
      </c>
      <c r="P113" s="2">
        <f t="shared" ref="P113:Q113" si="57">FORECAST(O113,P$114:P$131,O$114:O$131)</f>
        <v>6.1900483284377472E-2</v>
      </c>
      <c r="Q113" s="2">
        <f t="shared" si="57"/>
        <v>4.1787784410663345E-2</v>
      </c>
      <c r="T113" s="1">
        <v>1893</v>
      </c>
      <c r="U113" s="1" t="s">
        <v>27</v>
      </c>
      <c r="V113" s="1">
        <v>610</v>
      </c>
      <c r="W113" s="1">
        <v>1879</v>
      </c>
      <c r="Y113" s="1">
        <v>450076</v>
      </c>
    </row>
    <row r="114" spans="1:29">
      <c r="A114" s="1">
        <v>1902</v>
      </c>
      <c r="B114" s="1" t="s">
        <v>25</v>
      </c>
      <c r="C114" s="1">
        <v>995</v>
      </c>
      <c r="D114" s="1" t="s">
        <v>4</v>
      </c>
      <c r="E114" s="1">
        <v>1927</v>
      </c>
      <c r="F114" s="14">
        <v>42.61</v>
      </c>
      <c r="G114" s="2">
        <f t="shared" si="30"/>
        <v>0</v>
      </c>
      <c r="H114" s="2">
        <f>AVERAGE(H88:H113)</f>
        <v>0.2990625206329906</v>
      </c>
      <c r="O114" s="9">
        <v>1909</v>
      </c>
      <c r="P114" s="2">
        <v>3.4565490335540038E-2</v>
      </c>
      <c r="Q114" s="2">
        <v>2.9321826104368995E-2</v>
      </c>
      <c r="T114" s="1">
        <v>1893</v>
      </c>
      <c r="U114" s="1" t="s">
        <v>28</v>
      </c>
      <c r="V114" s="1">
        <v>620</v>
      </c>
      <c r="W114" s="1">
        <v>1880</v>
      </c>
      <c r="X114" s="14">
        <f t="shared" ref="X114:X144" si="58">(1000*Z114)/Y114</f>
        <v>9.3561300976357451</v>
      </c>
      <c r="Y114" s="1">
        <v>463867</v>
      </c>
      <c r="Z114" s="1">
        <v>4340</v>
      </c>
      <c r="AB114" s="2"/>
      <c r="AC114" s="2">
        <v>0.56699999999999995</v>
      </c>
    </row>
    <row r="115" spans="1:29">
      <c r="A115" s="1">
        <v>1902</v>
      </c>
      <c r="B115" s="1" t="s">
        <v>26</v>
      </c>
      <c r="C115" s="1">
        <v>925</v>
      </c>
      <c r="D115" s="1" t="s">
        <v>4</v>
      </c>
      <c r="E115" s="1">
        <v>1928</v>
      </c>
      <c r="F115" s="14">
        <v>42.61</v>
      </c>
      <c r="G115" s="2">
        <f t="shared" si="30"/>
        <v>0</v>
      </c>
      <c r="H115" s="41">
        <f t="shared" ref="H115:H116" si="59">SUM(O48,P48)</f>
        <v>726840.59</v>
      </c>
      <c r="I115" s="1">
        <v>609543.27</v>
      </c>
      <c r="J115" s="1">
        <v>62031</v>
      </c>
      <c r="O115" s="9">
        <v>1910</v>
      </c>
      <c r="P115" s="2">
        <v>6.3223135553291968E-2</v>
      </c>
      <c r="Q115" s="2">
        <v>2.1238119590490458E-2</v>
      </c>
      <c r="T115" s="1">
        <v>1893</v>
      </c>
      <c r="U115" s="1" t="s">
        <v>29</v>
      </c>
      <c r="V115" s="1">
        <v>635</v>
      </c>
      <c r="W115" s="1">
        <v>1881</v>
      </c>
      <c r="X115" s="14">
        <f t="shared" si="58"/>
        <v>10.36464908407596</v>
      </c>
      <c r="Y115" s="1">
        <v>482409</v>
      </c>
      <c r="Z115" s="1">
        <v>5000</v>
      </c>
      <c r="AB115" s="2"/>
      <c r="AC115" s="2">
        <v>0.58099999999999996</v>
      </c>
    </row>
    <row r="116" spans="1:29">
      <c r="A116" s="1">
        <v>1902</v>
      </c>
      <c r="B116" s="1" t="s">
        <v>27</v>
      </c>
      <c r="C116" s="1">
        <v>845</v>
      </c>
      <c r="D116" s="1" t="s">
        <v>4</v>
      </c>
      <c r="E116" s="1">
        <v>1929</v>
      </c>
      <c r="F116" s="14">
        <v>42.61</v>
      </c>
      <c r="G116" s="2">
        <f t="shared" si="30"/>
        <v>0</v>
      </c>
      <c r="H116" s="41">
        <f t="shared" si="59"/>
        <v>911380.21</v>
      </c>
      <c r="I116" s="42">
        <f>1268795.4+491625.31</f>
        <v>1760420.71</v>
      </c>
      <c r="J116" s="1">
        <f>(J115+11523)/2</f>
        <v>36777</v>
      </c>
      <c r="O116" s="9">
        <v>1911</v>
      </c>
      <c r="P116" s="2">
        <v>0.11249974670713014</v>
      </c>
      <c r="Q116" s="2">
        <v>8.5649403337902691E-2</v>
      </c>
      <c r="T116" s="1">
        <v>1893</v>
      </c>
      <c r="U116" s="1" t="s">
        <v>30</v>
      </c>
      <c r="V116" s="1">
        <v>635</v>
      </c>
      <c r="W116" s="1">
        <v>1882</v>
      </c>
      <c r="X116" s="14">
        <f t="shared" si="58"/>
        <v>10.962901541184632</v>
      </c>
      <c r="Y116" s="1">
        <v>501692</v>
      </c>
      <c r="Z116" s="1">
        <v>5500</v>
      </c>
      <c r="AA116" s="1">
        <f>8486340-2717766</f>
        <v>5768574</v>
      </c>
      <c r="AB116" s="2">
        <f>((Z116*1000)/AA116)-1</f>
        <v>-4.6558126843826542E-2</v>
      </c>
      <c r="AC116" s="2">
        <v>0.60399999999999998</v>
      </c>
    </row>
    <row r="117" spans="1:29">
      <c r="A117" s="1">
        <v>1902</v>
      </c>
      <c r="B117" s="1" t="s">
        <v>28</v>
      </c>
      <c r="C117" s="1">
        <v>900</v>
      </c>
      <c r="D117" s="1" t="s">
        <v>4</v>
      </c>
      <c r="E117" s="1">
        <v>1930</v>
      </c>
      <c r="F117" s="14">
        <v>42.61</v>
      </c>
      <c r="G117" s="2">
        <f t="shared" si="30"/>
        <v>0</v>
      </c>
      <c r="O117" s="9">
        <v>1912</v>
      </c>
      <c r="P117" s="2">
        <v>5.6095823706618163E-2</v>
      </c>
      <c r="Q117" s="2">
        <v>4.1852642728973273E-2</v>
      </c>
      <c r="T117" s="1">
        <v>1893</v>
      </c>
      <c r="U117" s="1" t="s">
        <v>31</v>
      </c>
      <c r="V117" s="1">
        <v>635</v>
      </c>
      <c r="W117" s="1">
        <v>1883</v>
      </c>
      <c r="X117" s="14">
        <f t="shared" si="58"/>
        <v>13.416464301663449</v>
      </c>
      <c r="Y117" s="1">
        <v>521747</v>
      </c>
      <c r="Z117" s="1">
        <v>7000</v>
      </c>
      <c r="AB117" s="2"/>
      <c r="AC117" s="2">
        <v>0.63600000000000001</v>
      </c>
    </row>
    <row r="118" spans="1:29">
      <c r="A118" s="1">
        <v>1902</v>
      </c>
      <c r="B118" s="1" t="s">
        <v>29</v>
      </c>
      <c r="C118" s="1">
        <v>1010</v>
      </c>
      <c r="D118" s="1" t="s">
        <v>4</v>
      </c>
      <c r="E118" s="1">
        <v>1931</v>
      </c>
      <c r="F118" s="14">
        <v>42.61</v>
      </c>
      <c r="G118" s="2">
        <f t="shared" si="30"/>
        <v>0</v>
      </c>
      <c r="O118" s="9">
        <v>1913</v>
      </c>
      <c r="P118" s="2">
        <v>3.7645187724341257E-2</v>
      </c>
      <c r="Q118" s="2">
        <v>2.8704336546079685E-2</v>
      </c>
      <c r="T118" s="1">
        <v>1893</v>
      </c>
      <c r="U118" s="1" t="s">
        <v>32</v>
      </c>
      <c r="V118" s="1">
        <v>580</v>
      </c>
      <c r="W118" s="1">
        <v>1884</v>
      </c>
      <c r="X118" s="14">
        <f t="shared" si="58"/>
        <v>14.283028813015802</v>
      </c>
      <c r="Y118" s="1">
        <v>542602</v>
      </c>
      <c r="Z118" s="1">
        <v>7750</v>
      </c>
      <c r="AB118" s="2"/>
      <c r="AC118" s="2">
        <v>0.64400000000000002</v>
      </c>
    </row>
    <row r="119" spans="1:29">
      <c r="A119" s="1">
        <v>1902</v>
      </c>
      <c r="B119" s="1" t="s">
        <v>30</v>
      </c>
      <c r="C119" s="1">
        <v>950</v>
      </c>
      <c r="D119" s="1" t="s">
        <v>4</v>
      </c>
      <c r="E119" s="1">
        <v>1932</v>
      </c>
      <c r="F119" s="14">
        <v>42.61</v>
      </c>
      <c r="G119" s="2">
        <f t="shared" si="30"/>
        <v>0</v>
      </c>
      <c r="O119" s="9">
        <v>1914</v>
      </c>
      <c r="P119" s="2">
        <v>1.9884605962937126E-2</v>
      </c>
      <c r="Q119" s="2">
        <v>1.1026082307631703E-2</v>
      </c>
      <c r="T119" s="1">
        <v>1893</v>
      </c>
      <c r="U119" s="1" t="s">
        <v>33</v>
      </c>
      <c r="V119" s="1">
        <v>625</v>
      </c>
      <c r="W119" s="1">
        <v>1885</v>
      </c>
      <c r="X119" s="14">
        <f t="shared" si="58"/>
        <v>13.698581585420314</v>
      </c>
      <c r="Y119" s="1">
        <v>564292</v>
      </c>
      <c r="Z119" s="1">
        <v>7730</v>
      </c>
      <c r="AA119" s="1">
        <f>12467633-3888085</f>
        <v>8579548</v>
      </c>
      <c r="AB119" s="2">
        <f>((Z119*1000)/AA119)-1</f>
        <v>-9.9020134860251408E-2</v>
      </c>
      <c r="AC119" s="2">
        <v>0.60899999999999999</v>
      </c>
    </row>
    <row r="120" spans="1:29">
      <c r="A120" s="1">
        <v>1902</v>
      </c>
      <c r="B120" s="1" t="s">
        <v>31</v>
      </c>
      <c r="C120" s="1">
        <v>890</v>
      </c>
      <c r="D120" s="1" t="s">
        <v>4</v>
      </c>
      <c r="O120" s="9">
        <v>1915</v>
      </c>
      <c r="P120" s="2">
        <v>9.0462127228239358E-3</v>
      </c>
      <c r="Q120" s="2">
        <v>1.1329102200160637E-2</v>
      </c>
      <c r="T120" s="1">
        <v>1894</v>
      </c>
      <c r="U120" s="1" t="s">
        <v>22</v>
      </c>
      <c r="V120" s="1">
        <v>635</v>
      </c>
      <c r="W120" s="1">
        <v>1886</v>
      </c>
      <c r="X120" s="14">
        <f t="shared" si="58"/>
        <v>11.587327553301707</v>
      </c>
      <c r="Y120" s="1">
        <v>586848</v>
      </c>
      <c r="Z120" s="1">
        <v>6800</v>
      </c>
      <c r="AB120" s="2"/>
      <c r="AC120" s="2">
        <v>0.58099999999999996</v>
      </c>
    </row>
    <row r="121" spans="1:29">
      <c r="A121" s="1">
        <v>1902</v>
      </c>
      <c r="B121" s="1" t="s">
        <v>32</v>
      </c>
      <c r="C121" s="1">
        <v>980</v>
      </c>
      <c r="D121" s="1" t="s">
        <v>4</v>
      </c>
      <c r="O121" s="9">
        <v>1916</v>
      </c>
      <c r="P121" s="2">
        <v>3.1391455676707938E-2</v>
      </c>
      <c r="Q121" s="2">
        <v>1.2872164971211466E-2</v>
      </c>
      <c r="T121" s="1">
        <v>1894</v>
      </c>
      <c r="U121" s="1" t="s">
        <v>23</v>
      </c>
      <c r="V121" s="1">
        <v>645</v>
      </c>
      <c r="W121" s="1">
        <v>1887</v>
      </c>
      <c r="X121" s="14">
        <f t="shared" si="58"/>
        <v>14.233843350712593</v>
      </c>
      <c r="Y121" s="1">
        <v>610306</v>
      </c>
      <c r="Z121" s="1">
        <v>8687</v>
      </c>
      <c r="AA121" s="1">
        <f>13634483-3888085</f>
        <v>9746398</v>
      </c>
      <c r="AB121" s="2">
        <f>((Z121*1000)/AA121)-1</f>
        <v>-0.10869636146605133</v>
      </c>
      <c r="AC121" s="2">
        <v>0.68400000000000005</v>
      </c>
    </row>
    <row r="122" spans="1:29">
      <c r="A122" s="1">
        <v>1902</v>
      </c>
      <c r="B122" s="1" t="s">
        <v>33</v>
      </c>
      <c r="C122" s="1">
        <v>980</v>
      </c>
      <c r="D122" s="1" t="s">
        <v>4</v>
      </c>
      <c r="F122" s="1" t="s">
        <v>144</v>
      </c>
      <c r="O122" s="9">
        <v>1917</v>
      </c>
      <c r="P122" s="2">
        <v>1.9891531010665441E-2</v>
      </c>
      <c r="Q122" s="2">
        <v>1.3668488616375311E-2</v>
      </c>
      <c r="T122" s="1">
        <v>1894</v>
      </c>
      <c r="U122" s="1" t="s">
        <v>24</v>
      </c>
      <c r="V122" s="1">
        <v>600</v>
      </c>
      <c r="W122" s="1">
        <v>1888</v>
      </c>
      <c r="X122" s="14">
        <f t="shared" si="58"/>
        <v>13.979788940321599</v>
      </c>
      <c r="Y122" s="1">
        <v>634702</v>
      </c>
      <c r="Z122" s="1">
        <v>8873</v>
      </c>
      <c r="AB122" s="2"/>
      <c r="AC122" s="2">
        <v>0.64800000000000002</v>
      </c>
    </row>
    <row r="123" spans="1:29">
      <c r="A123" s="1">
        <v>1903</v>
      </c>
      <c r="B123" s="1" t="s">
        <v>22</v>
      </c>
      <c r="C123" s="1">
        <v>1015</v>
      </c>
      <c r="D123" s="1" t="s">
        <v>4</v>
      </c>
      <c r="F123" s="1" t="s">
        <v>1</v>
      </c>
      <c r="G123" s="1" t="s">
        <v>145</v>
      </c>
      <c r="H123" s="1" t="s">
        <v>146</v>
      </c>
      <c r="I123" s="1" t="s">
        <v>147</v>
      </c>
      <c r="J123" s="1" t="s">
        <v>148</v>
      </c>
      <c r="K123" s="1" t="s">
        <v>149</v>
      </c>
      <c r="O123" s="9">
        <v>1918</v>
      </c>
      <c r="P123" s="2">
        <v>1.8727006043825805E-2</v>
      </c>
      <c r="Q123" s="2">
        <v>1.5325224616635495E-2</v>
      </c>
      <c r="T123" s="1">
        <v>1894</v>
      </c>
      <c r="U123" s="1" t="s">
        <v>25</v>
      </c>
      <c r="V123" s="1">
        <v>680</v>
      </c>
      <c r="W123" s="1">
        <v>1889</v>
      </c>
      <c r="X123" s="14">
        <f t="shared" si="58"/>
        <v>16.36182664644668</v>
      </c>
      <c r="Y123" s="1">
        <v>660073</v>
      </c>
      <c r="Z123" s="1">
        <v>10800</v>
      </c>
      <c r="AB123" s="2"/>
      <c r="AC123" s="2">
        <v>0.68799999999999994</v>
      </c>
    </row>
    <row r="124" spans="1:29">
      <c r="A124" s="1">
        <v>1903</v>
      </c>
      <c r="B124" s="1" t="s">
        <v>23</v>
      </c>
      <c r="C124" s="1">
        <v>1027</v>
      </c>
      <c r="D124" s="1" t="s">
        <v>4</v>
      </c>
      <c r="F124" s="1">
        <v>1881</v>
      </c>
      <c r="G124" s="2">
        <f t="shared" ref="G124:G127" si="60">(O44+P44)/J68</f>
        <v>0.95446585253155347</v>
      </c>
      <c r="H124" s="2">
        <f>10522.11/J68</f>
        <v>1.321162741641429E-2</v>
      </c>
      <c r="I124" s="2">
        <f t="shared" ref="I124:I127" si="61">1-(H124+G124)</f>
        <v>3.2322520052032289E-2</v>
      </c>
      <c r="J124" s="4" t="s">
        <v>15</v>
      </c>
      <c r="K124" s="4" t="s">
        <v>15</v>
      </c>
      <c r="O124" s="9">
        <v>1919</v>
      </c>
      <c r="P124" s="2">
        <v>3.9595860629114472E-2</v>
      </c>
      <c r="Q124" s="2">
        <v>2.1328963383853816E-2</v>
      </c>
      <c r="T124" s="1">
        <v>1894</v>
      </c>
      <c r="U124" s="1" t="s">
        <v>26</v>
      </c>
      <c r="V124" s="1">
        <v>690</v>
      </c>
      <c r="W124" s="1">
        <v>1890</v>
      </c>
      <c r="X124" s="14">
        <f t="shared" si="58"/>
        <v>14.392723225601566</v>
      </c>
      <c r="Y124" s="1">
        <v>686458</v>
      </c>
      <c r="Z124" s="1">
        <v>9880</v>
      </c>
      <c r="AB124" s="2"/>
      <c r="AC124" s="2">
        <v>0.56799999999999995</v>
      </c>
    </row>
    <row r="125" spans="1:29">
      <c r="A125" s="1">
        <v>1903</v>
      </c>
      <c r="B125" s="1" t="s">
        <v>24</v>
      </c>
      <c r="C125" s="1">
        <v>1000</v>
      </c>
      <c r="D125" s="1" t="s">
        <v>4</v>
      </c>
      <c r="F125" s="1">
        <v>1882</v>
      </c>
      <c r="G125" s="2">
        <f t="shared" si="60"/>
        <v>0.88010575828286686</v>
      </c>
      <c r="H125" s="2">
        <f>6601/J69</f>
        <v>7.5840350375295414E-3</v>
      </c>
      <c r="I125" s="2">
        <f t="shared" si="61"/>
        <v>0.11231020667960356</v>
      </c>
      <c r="J125" s="2">
        <f t="shared" ref="J125:J127" si="62">(J69/J68)-1</f>
        <v>9.2855851376395515E-2</v>
      </c>
      <c r="K125" s="4" t="s">
        <v>15</v>
      </c>
      <c r="O125" s="9">
        <v>1920</v>
      </c>
      <c r="P125" s="2">
        <v>1.1600508060933028E-2</v>
      </c>
      <c r="Q125" s="2">
        <v>1.4620784388337913E-2</v>
      </c>
      <c r="T125" s="1">
        <v>1894</v>
      </c>
      <c r="U125" s="1" t="s">
        <v>27</v>
      </c>
      <c r="V125" s="1">
        <v>675</v>
      </c>
      <c r="W125" s="1">
        <v>1891</v>
      </c>
      <c r="X125" s="14">
        <f t="shared" si="58"/>
        <v>12.268401540663232</v>
      </c>
      <c r="Y125" s="1">
        <v>706449</v>
      </c>
      <c r="Z125" s="1">
        <v>8667</v>
      </c>
      <c r="AB125" s="2"/>
      <c r="AC125" s="2">
        <v>0.58199999999999996</v>
      </c>
    </row>
    <row r="126" spans="1:29">
      <c r="A126" s="1">
        <v>1903</v>
      </c>
      <c r="B126" s="1" t="s">
        <v>25</v>
      </c>
      <c r="C126" s="1">
        <v>1020</v>
      </c>
      <c r="D126" s="1" t="s">
        <v>4</v>
      </c>
      <c r="F126" s="1">
        <v>1883</v>
      </c>
      <c r="G126" s="2">
        <f t="shared" si="60"/>
        <v>0.91056662341297101</v>
      </c>
      <c r="H126" s="2">
        <f>4749.84/J70</f>
        <v>8.6322745264810763E-3</v>
      </c>
      <c r="I126" s="2">
        <f t="shared" si="61"/>
        <v>8.0801102060547914E-2</v>
      </c>
      <c r="J126" s="2">
        <f t="shared" si="62"/>
        <v>-0.36781478455986516</v>
      </c>
      <c r="K126" s="4" t="s">
        <v>15</v>
      </c>
      <c r="O126" s="9">
        <v>1921</v>
      </c>
      <c r="P126" s="2">
        <v>1.0487496420513512E-2</v>
      </c>
      <c r="Q126" s="2">
        <v>1.1763796851807328E-2</v>
      </c>
      <c r="T126" s="1">
        <v>1894</v>
      </c>
      <c r="U126" s="1" t="s">
        <v>28</v>
      </c>
      <c r="V126" s="1">
        <v>667</v>
      </c>
      <c r="W126" s="1">
        <v>1892</v>
      </c>
      <c r="X126" s="14">
        <f t="shared" si="58"/>
        <v>11.849693888639012</v>
      </c>
      <c r="Y126" s="1">
        <v>727023</v>
      </c>
      <c r="Z126" s="1">
        <v>8615</v>
      </c>
      <c r="AB126" s="2"/>
      <c r="AC126" s="2">
        <v>0.61499999999999999</v>
      </c>
    </row>
    <row r="127" spans="1:29">
      <c r="A127" s="1">
        <v>1903</v>
      </c>
      <c r="B127" s="1" t="s">
        <v>26</v>
      </c>
      <c r="C127" s="1">
        <v>1035</v>
      </c>
      <c r="D127" s="1" t="s">
        <v>4</v>
      </c>
      <c r="F127" s="1">
        <v>1884</v>
      </c>
      <c r="G127" s="2">
        <f t="shared" si="60"/>
        <v>0.86141314234284005</v>
      </c>
      <c r="H127" s="2">
        <f>52641.3/J71</f>
        <v>6.2670303295824153E-2</v>
      </c>
      <c r="I127" s="2">
        <f t="shared" si="61"/>
        <v>7.591655436133582E-2</v>
      </c>
      <c r="J127" s="2">
        <f t="shared" si="62"/>
        <v>0.52655013612192447</v>
      </c>
      <c r="K127" s="4" t="s">
        <v>15</v>
      </c>
      <c r="O127" s="9">
        <v>1922</v>
      </c>
      <c r="P127" s="2">
        <v>9.6002769739628527E-3</v>
      </c>
      <c r="Q127" s="2">
        <v>1.4250385809083376E-2</v>
      </c>
      <c r="T127" s="1">
        <v>1894</v>
      </c>
      <c r="U127" s="1" t="s">
        <v>29</v>
      </c>
      <c r="V127" s="1">
        <v>655</v>
      </c>
      <c r="W127" s="1">
        <v>1893</v>
      </c>
      <c r="X127" s="14">
        <f t="shared" si="58"/>
        <v>12.03294323947201</v>
      </c>
      <c r="Y127" s="1">
        <v>748196</v>
      </c>
      <c r="Z127" s="1">
        <v>9003</v>
      </c>
      <c r="AA127" s="1">
        <f>13550790-4957569</f>
        <v>8593221</v>
      </c>
      <c r="AB127" s="2">
        <f>((Z127*1000)/AA127)-1</f>
        <v>4.7686309941289862E-2</v>
      </c>
      <c r="AC127" s="2">
        <v>0.625</v>
      </c>
    </row>
    <row r="128" spans="1:29">
      <c r="A128" s="1">
        <v>1903</v>
      </c>
      <c r="B128" s="1" t="s">
        <v>27</v>
      </c>
      <c r="C128" s="1">
        <v>1080</v>
      </c>
      <c r="D128" s="1" t="s">
        <v>4</v>
      </c>
      <c r="F128" s="1">
        <v>1885</v>
      </c>
      <c r="G128" s="2">
        <f t="shared" ref="G128:I128" si="63">H115/(SUM($H115:$J115))</f>
        <v>0.51976034493798218</v>
      </c>
      <c r="H128" s="2">
        <f t="shared" si="63"/>
        <v>0.43588157379849357</v>
      </c>
      <c r="I128" s="2">
        <f t="shared" si="63"/>
        <v>4.4358081263524335E-2</v>
      </c>
      <c r="J128" s="2">
        <f t="shared" ref="J128:J129" si="64">(SUM(H115:J115)/J71)-1</f>
        <v>0.6648350897410864</v>
      </c>
      <c r="K128" s="4" t="s">
        <v>15</v>
      </c>
      <c r="L128" s="1" t="s">
        <v>150</v>
      </c>
      <c r="O128" s="9">
        <v>1923</v>
      </c>
      <c r="P128" s="2">
        <v>1.0005333875939972E-2</v>
      </c>
      <c r="Q128" s="2">
        <v>1.4146431808429501E-2</v>
      </c>
      <c r="T128" s="1">
        <v>1894</v>
      </c>
      <c r="U128" s="1" t="s">
        <v>30</v>
      </c>
      <c r="V128" s="1">
        <v>625</v>
      </c>
      <c r="W128" s="1">
        <v>1894</v>
      </c>
      <c r="X128" s="14">
        <f t="shared" si="58"/>
        <v>13.345714526906368</v>
      </c>
      <c r="Y128" s="1">
        <v>769985</v>
      </c>
      <c r="Z128" s="1">
        <v>10276</v>
      </c>
      <c r="AB128" s="2"/>
      <c r="AC128" s="2">
        <v>0.66700000000000004</v>
      </c>
    </row>
    <row r="129" spans="1:29">
      <c r="A129" s="1">
        <v>1903</v>
      </c>
      <c r="B129" s="1" t="s">
        <v>28</v>
      </c>
      <c r="C129" s="1">
        <v>1015</v>
      </c>
      <c r="D129" s="1" t="s">
        <v>4</v>
      </c>
      <c r="F129" s="1">
        <v>1886</v>
      </c>
      <c r="G129" s="2">
        <f t="shared" ref="G129:I129" si="65">H116/(SUM($H116:$J116))</f>
        <v>0.3364792289231982</v>
      </c>
      <c r="H129" s="2">
        <f t="shared" si="65"/>
        <v>0.64994279728899218</v>
      </c>
      <c r="I129" s="2">
        <f t="shared" si="65"/>
        <v>1.3577973787809656E-2</v>
      </c>
      <c r="J129" s="2">
        <f t="shared" si="64"/>
        <v>0.8837039571597467</v>
      </c>
      <c r="K129" s="4" t="s">
        <v>15</v>
      </c>
      <c r="L129" s="1" t="s">
        <v>151</v>
      </c>
      <c r="O129" s="9">
        <v>1924</v>
      </c>
      <c r="P129" s="2">
        <v>9.4455772497100444E-3</v>
      </c>
      <c r="Q129" s="2">
        <v>1.2399711621162426E-2</v>
      </c>
      <c r="T129" s="1">
        <v>1894</v>
      </c>
      <c r="U129" s="1" t="s">
        <v>31</v>
      </c>
      <c r="V129" s="1">
        <v>610</v>
      </c>
      <c r="W129" s="1">
        <v>1895</v>
      </c>
      <c r="X129" s="14">
        <f t="shared" si="58"/>
        <v>13.453910796066173</v>
      </c>
      <c r="Y129" s="1">
        <v>792409</v>
      </c>
      <c r="Z129" s="1">
        <v>10661</v>
      </c>
      <c r="AB129" s="2"/>
      <c r="AC129" s="2">
        <v>0.66600000000000004</v>
      </c>
    </row>
    <row r="130" spans="1:29">
      <c r="A130" s="1">
        <v>1903</v>
      </c>
      <c r="B130" s="1" t="s">
        <v>29</v>
      </c>
      <c r="C130" s="1">
        <v>915</v>
      </c>
      <c r="D130" s="1" t="s">
        <v>4</v>
      </c>
      <c r="F130" s="1">
        <v>1887</v>
      </c>
      <c r="G130" s="2">
        <f>1358317/J74</f>
        <v>0.44446193227758446</v>
      </c>
      <c r="H130" s="2">
        <f>(1179941.6+506342.42)/J74</f>
        <v>0.5517777174974714</v>
      </c>
      <c r="I130" s="2">
        <f t="shared" ref="I130:I157" si="66">1-(H130+G130)</f>
        <v>3.7603502249441423E-3</v>
      </c>
      <c r="J130" s="2">
        <f t="shared" ref="J130:J146" si="67">(J74/J73)-1</f>
        <v>-0.39022376470696218</v>
      </c>
      <c r="K130" s="4" t="s">
        <v>15</v>
      </c>
      <c r="O130" s="9">
        <v>1925</v>
      </c>
      <c r="P130" s="2">
        <v>7.1658611002307923E-3</v>
      </c>
      <c r="Q130" s="2">
        <v>8.9631429085505841E-3</v>
      </c>
      <c r="T130" s="1">
        <v>1894</v>
      </c>
      <c r="U130" s="1" t="s">
        <v>32</v>
      </c>
      <c r="V130" s="1">
        <v>610</v>
      </c>
      <c r="W130" s="1">
        <v>1896</v>
      </c>
      <c r="X130" s="14">
        <f t="shared" si="58"/>
        <v>12.949333281012795</v>
      </c>
      <c r="Y130" s="1">
        <v>815486</v>
      </c>
      <c r="Z130" s="1">
        <v>10560</v>
      </c>
      <c r="AB130" s="2"/>
      <c r="AC130" s="2">
        <v>0.621</v>
      </c>
    </row>
    <row r="131" spans="1:29">
      <c r="A131" s="1">
        <v>1903</v>
      </c>
      <c r="B131" s="1" t="s">
        <v>30</v>
      </c>
      <c r="C131" s="1">
        <v>890</v>
      </c>
      <c r="D131" s="1" t="s">
        <v>4</v>
      </c>
      <c r="F131" s="1">
        <v>1888</v>
      </c>
      <c r="G131" s="2">
        <f>1389112/J75</f>
        <v>0.4000721166169473</v>
      </c>
      <c r="H131" s="2">
        <f>(1393147.77+395155.22)/J75</f>
        <v>0.51504138065304705</v>
      </c>
      <c r="I131" s="2">
        <f t="shared" si="66"/>
        <v>8.4886502730005642E-2</v>
      </c>
      <c r="J131" s="2">
        <f t="shared" si="67"/>
        <v>0.13614147213451955</v>
      </c>
      <c r="K131" s="4" t="s">
        <v>15</v>
      </c>
      <c r="O131" s="9">
        <v>1926</v>
      </c>
      <c r="P131" s="2">
        <v>7.1961324254005447E-3</v>
      </c>
      <c r="Q131" s="2">
        <v>6.8536423790336578E-3</v>
      </c>
      <c r="T131" s="1">
        <v>1894</v>
      </c>
      <c r="U131" s="1" t="s">
        <v>33</v>
      </c>
      <c r="V131" s="1">
        <v>610</v>
      </c>
      <c r="W131" s="1">
        <v>1897</v>
      </c>
      <c r="X131" s="14">
        <f t="shared" si="58"/>
        <v>10.833675907225032</v>
      </c>
      <c r="Y131" s="1">
        <v>839235</v>
      </c>
      <c r="Z131" s="1">
        <v>9092</v>
      </c>
      <c r="AB131" s="2"/>
      <c r="AC131" s="2">
        <v>0.58299999999999996</v>
      </c>
    </row>
    <row r="132" spans="1:29">
      <c r="A132" s="1">
        <v>1903</v>
      </c>
      <c r="B132" s="1" t="s">
        <v>31</v>
      </c>
      <c r="C132" s="1">
        <v>877</v>
      </c>
      <c r="D132" s="1" t="s">
        <v>4</v>
      </c>
      <c r="F132" s="1">
        <v>1889</v>
      </c>
      <c r="G132" s="2">
        <f>1419882/J76</f>
        <v>0.34424085673638366</v>
      </c>
      <c r="H132" s="2">
        <f>(129342.2+2210001.32)/J76</f>
        <v>0.56715812829904699</v>
      </c>
      <c r="I132" s="2">
        <f t="shared" si="66"/>
        <v>8.8601014964569291E-2</v>
      </c>
      <c r="J132" s="2">
        <f t="shared" si="67"/>
        <v>0.18793002844919893</v>
      </c>
      <c r="K132" s="4" t="s">
        <v>15</v>
      </c>
      <c r="L132" s="1" t="s">
        <v>152</v>
      </c>
      <c r="T132" s="1">
        <v>1895</v>
      </c>
      <c r="U132" s="1" t="s">
        <v>22</v>
      </c>
      <c r="V132" s="1">
        <v>650</v>
      </c>
      <c r="W132" s="1">
        <v>1898</v>
      </c>
      <c r="X132" s="14">
        <f t="shared" si="58"/>
        <v>11.719672655023411</v>
      </c>
      <c r="Y132" s="1">
        <v>863676</v>
      </c>
      <c r="Z132" s="1">
        <v>10122</v>
      </c>
      <c r="AB132" s="2"/>
      <c r="AC132" s="2">
        <v>0.621</v>
      </c>
    </row>
    <row r="133" spans="1:29">
      <c r="A133" s="1">
        <v>1903</v>
      </c>
      <c r="B133" s="1" t="s">
        <v>32</v>
      </c>
      <c r="C133" s="1">
        <v>877</v>
      </c>
      <c r="D133" s="1" t="s">
        <v>4</v>
      </c>
      <c r="F133" s="1">
        <v>1890</v>
      </c>
      <c r="G133" s="2">
        <f>1185077/J77</f>
        <v>0.68195508711194386</v>
      </c>
      <c r="H133" s="2">
        <f>(8470.26+240133.53)/J77</f>
        <v>0.14305958116291972</v>
      </c>
      <c r="I133" s="2">
        <f t="shared" si="66"/>
        <v>0.17498533172513642</v>
      </c>
      <c r="J133" s="2">
        <f t="shared" si="67"/>
        <v>-0.57869078686422881</v>
      </c>
      <c r="K133" s="4" t="s">
        <v>15</v>
      </c>
      <c r="O133" s="1" t="s">
        <v>0</v>
      </c>
      <c r="T133" s="1">
        <v>1895</v>
      </c>
      <c r="U133" s="1" t="s">
        <v>23</v>
      </c>
      <c r="V133" s="1">
        <v>652</v>
      </c>
      <c r="W133" s="1">
        <v>1899</v>
      </c>
      <c r="X133" s="14">
        <f t="shared" si="58"/>
        <v>11.780681976715405</v>
      </c>
      <c r="Y133" s="1">
        <v>888828</v>
      </c>
      <c r="Z133" s="1">
        <v>10471</v>
      </c>
      <c r="AA133" s="1">
        <f>15950225-6632557</f>
        <v>9317668</v>
      </c>
      <c r="AB133" s="2">
        <f>((Z133*1000)/AA133)-1</f>
        <v>0.12377903999155149</v>
      </c>
      <c r="AC133" s="2">
        <v>0.61599999999999999</v>
      </c>
    </row>
    <row r="134" spans="1:29">
      <c r="A134" s="1">
        <v>1903</v>
      </c>
      <c r="B134" s="1" t="s">
        <v>33</v>
      </c>
      <c r="C134" s="1">
        <v>877</v>
      </c>
      <c r="D134" s="1" t="s">
        <v>4</v>
      </c>
      <c r="F134" s="1">
        <v>1891</v>
      </c>
      <c r="G134" s="2">
        <f>1196315/1647717</f>
        <v>0.72604397478450489</v>
      </c>
      <c r="H134" s="2">
        <f>(126104.98+39850.62)/1647717</f>
        <v>0.10071850930712009</v>
      </c>
      <c r="I134" s="2">
        <f t="shared" si="66"/>
        <v>0.17323751590837499</v>
      </c>
      <c r="J134" s="2">
        <f t="shared" si="67"/>
        <v>-0.66288884637167078</v>
      </c>
      <c r="K134" s="4" t="s">
        <v>15</v>
      </c>
      <c r="O134" s="1" t="s">
        <v>1</v>
      </c>
      <c r="P134" s="1" t="s">
        <v>2</v>
      </c>
      <c r="Q134" s="1" t="s">
        <v>3</v>
      </c>
      <c r="T134" s="1">
        <v>1895</v>
      </c>
      <c r="U134" s="1" t="s">
        <v>24</v>
      </c>
      <c r="V134" s="1">
        <v>655</v>
      </c>
      <c r="W134" s="1">
        <v>1900</v>
      </c>
      <c r="X134" s="14">
        <f t="shared" si="58"/>
        <v>11.331423080244841</v>
      </c>
      <c r="Y134" s="1">
        <v>914713</v>
      </c>
      <c r="Z134" s="1">
        <v>10365</v>
      </c>
      <c r="AB134" s="2"/>
      <c r="AC134" s="2">
        <v>0.55700000000000005</v>
      </c>
    </row>
    <row r="135" spans="1:29">
      <c r="A135" s="1">
        <v>1904</v>
      </c>
      <c r="B135" s="1" t="s">
        <v>22</v>
      </c>
      <c r="C135" s="1">
        <v>877</v>
      </c>
      <c r="D135" s="1" t="s">
        <v>4</v>
      </c>
      <c r="F135" s="1">
        <v>1892</v>
      </c>
      <c r="G135" s="2">
        <f>2131506/2731507</f>
        <v>0.78034066908852884</v>
      </c>
      <c r="H135" s="2">
        <f>(87505.08+275606.89)/2731507</f>
        <v>0.13293466573580079</v>
      </c>
      <c r="I135" s="2">
        <f t="shared" si="66"/>
        <v>8.6724665175670346E-2</v>
      </c>
      <c r="J135" s="2">
        <f t="shared" si="67"/>
        <v>0.26714028643602061</v>
      </c>
      <c r="K135" s="4" t="s">
        <v>15</v>
      </c>
      <c r="O135" s="1">
        <v>1900</v>
      </c>
      <c r="P135" s="1">
        <v>635571</v>
      </c>
      <c r="Q135" s="1" t="s">
        <v>4</v>
      </c>
      <c r="T135" s="1">
        <v>1895</v>
      </c>
      <c r="U135" s="1" t="s">
        <v>25</v>
      </c>
      <c r="V135" s="1">
        <v>665</v>
      </c>
      <c r="W135" s="1">
        <v>1901</v>
      </c>
      <c r="X135" s="14">
        <f t="shared" si="58"/>
        <v>11.347504000825976</v>
      </c>
      <c r="Y135" s="1">
        <v>929808</v>
      </c>
      <c r="Z135" s="1">
        <v>10551</v>
      </c>
      <c r="AB135" s="2"/>
      <c r="AC135" s="2">
        <v>0.58899999999999997</v>
      </c>
    </row>
    <row r="136" spans="1:29">
      <c r="A136" s="1">
        <v>1904</v>
      </c>
      <c r="B136" s="1" t="s">
        <v>23</v>
      </c>
      <c r="C136" s="1">
        <v>877</v>
      </c>
      <c r="D136" s="1" t="s">
        <v>4</v>
      </c>
      <c r="F136" s="1">
        <v>1893</v>
      </c>
      <c r="G136" s="2">
        <f>4309232/5859266</f>
        <v>0.73545594277508475</v>
      </c>
      <c r="H136" s="2">
        <f>(42034.13+897156.45)/5859266</f>
        <v>0.1602915075028169</v>
      </c>
      <c r="I136" s="2">
        <f t="shared" si="66"/>
        <v>0.1042525497220983</v>
      </c>
      <c r="J136" s="2">
        <f t="shared" si="67"/>
        <v>1.0319363935583805</v>
      </c>
      <c r="K136" s="4" t="s">
        <v>15</v>
      </c>
      <c r="O136" s="1">
        <v>1914</v>
      </c>
      <c r="P136" s="1">
        <v>656062</v>
      </c>
      <c r="Q136" s="1" t="s">
        <v>4</v>
      </c>
      <c r="T136" s="1">
        <v>1895</v>
      </c>
      <c r="U136" s="1" t="s">
        <v>26</v>
      </c>
      <c r="V136" s="1">
        <v>675</v>
      </c>
      <c r="W136" s="1">
        <v>1902</v>
      </c>
      <c r="X136" s="14">
        <f t="shared" si="58"/>
        <v>11.066991270196466</v>
      </c>
      <c r="Y136" s="1">
        <v>945153</v>
      </c>
      <c r="Z136" s="1">
        <v>10460</v>
      </c>
      <c r="AB136" s="2"/>
      <c r="AC136" s="2">
        <v>0.56200000000000006</v>
      </c>
    </row>
    <row r="137" spans="1:29">
      <c r="A137" s="1">
        <v>1904</v>
      </c>
      <c r="B137" s="1" t="s">
        <v>24</v>
      </c>
      <c r="C137" s="1">
        <v>905</v>
      </c>
      <c r="D137" s="1" t="s">
        <v>4</v>
      </c>
      <c r="F137" s="1">
        <v>1894</v>
      </c>
      <c r="G137" s="2">
        <f>3813619/4910472</f>
        <v>0.77662982295795602</v>
      </c>
      <c r="H137" s="2">
        <f>(37871.31+450836.85)/4910472</f>
        <v>9.952366289839347E-2</v>
      </c>
      <c r="I137" s="2">
        <f t="shared" si="66"/>
        <v>0.12384651414365055</v>
      </c>
      <c r="J137" s="2">
        <f t="shared" si="67"/>
        <v>-0.24649586272847845</v>
      </c>
      <c r="K137" s="4" t="s">
        <v>15</v>
      </c>
      <c r="O137" s="1">
        <v>1920</v>
      </c>
      <c r="P137" s="1">
        <v>699000</v>
      </c>
      <c r="Q137" s="1" t="s">
        <v>5</v>
      </c>
      <c r="T137" s="1">
        <v>1895</v>
      </c>
      <c r="U137" s="1" t="s">
        <v>27</v>
      </c>
      <c r="V137" s="1">
        <v>670</v>
      </c>
      <c r="W137" s="1">
        <v>1903</v>
      </c>
      <c r="X137" s="14">
        <f t="shared" si="58"/>
        <v>11.355711683580536</v>
      </c>
      <c r="Y137" s="1">
        <v>960750</v>
      </c>
      <c r="Z137" s="1">
        <v>10910</v>
      </c>
      <c r="AB137" s="2"/>
      <c r="AC137" s="2">
        <v>0.56499999999999995</v>
      </c>
    </row>
    <row r="138" spans="1:29">
      <c r="A138" s="1">
        <v>1904</v>
      </c>
      <c r="B138" s="1" t="s">
        <v>25</v>
      </c>
      <c r="C138" s="1">
        <v>960</v>
      </c>
      <c r="D138" s="1" t="s">
        <v>4</v>
      </c>
      <c r="F138" s="1">
        <v>1895</v>
      </c>
      <c r="G138" s="2">
        <f>4519812/5120243</f>
        <v>0.88273388587221346</v>
      </c>
      <c r="H138" s="2">
        <f>(22405.9+67071.07)/5120243</f>
        <v>1.7475141316535173E-2</v>
      </c>
      <c r="I138" s="2">
        <f t="shared" si="66"/>
        <v>9.9790972811251377E-2</v>
      </c>
      <c r="J138" s="2">
        <f t="shared" si="67"/>
        <v>0.11432338390701613</v>
      </c>
      <c r="K138" s="4" t="s">
        <v>15</v>
      </c>
      <c r="O138" s="1">
        <v>1925</v>
      </c>
      <c r="P138" s="1">
        <v>785000</v>
      </c>
      <c r="Q138" s="1" t="s">
        <v>5</v>
      </c>
      <c r="T138" s="1">
        <v>1895</v>
      </c>
      <c r="U138" s="1" t="s">
        <v>28</v>
      </c>
      <c r="V138" s="1">
        <v>665</v>
      </c>
      <c r="W138" s="1">
        <v>1904</v>
      </c>
      <c r="X138" s="14">
        <f t="shared" si="58"/>
        <v>10.372657960323815</v>
      </c>
      <c r="Y138" s="1">
        <v>976606</v>
      </c>
      <c r="Z138" s="1">
        <v>10130</v>
      </c>
      <c r="AB138" s="2"/>
      <c r="AC138" s="2">
        <v>0.56299999999999994</v>
      </c>
    </row>
    <row r="139" spans="1:29">
      <c r="A139" s="1">
        <v>1904</v>
      </c>
      <c r="B139" s="1" t="s">
        <v>26</v>
      </c>
      <c r="C139" s="1">
        <v>1030</v>
      </c>
      <c r="D139" s="1" t="s">
        <v>4</v>
      </c>
      <c r="F139" s="1">
        <v>1896</v>
      </c>
      <c r="G139" s="2">
        <f>5080622/5832867</f>
        <v>0.87103340432758025</v>
      </c>
      <c r="H139" s="2">
        <f>(22350.6+466058.21)/5832867</f>
        <v>8.3733918500113233E-2</v>
      </c>
      <c r="I139" s="2">
        <f t="shared" si="66"/>
        <v>4.5232677172306501E-2</v>
      </c>
      <c r="J139" s="2">
        <f t="shared" si="67"/>
        <v>0.23144491566109537</v>
      </c>
      <c r="K139" s="4" t="s">
        <v>15</v>
      </c>
      <c r="O139" s="1">
        <v>1926</v>
      </c>
      <c r="P139" s="1">
        <v>828969</v>
      </c>
      <c r="Q139" s="1" t="s">
        <v>6</v>
      </c>
      <c r="T139" s="1">
        <v>1895</v>
      </c>
      <c r="U139" s="1" t="s">
        <v>29</v>
      </c>
      <c r="V139" s="1">
        <v>655</v>
      </c>
      <c r="W139" s="1">
        <v>1905</v>
      </c>
      <c r="X139" s="14">
        <f t="shared" si="58"/>
        <v>11.372771027538425</v>
      </c>
      <c r="Y139" s="1">
        <v>992722</v>
      </c>
      <c r="Z139" s="1">
        <v>11290</v>
      </c>
      <c r="AB139" s="2"/>
      <c r="AC139" s="2">
        <v>0.52800000000000002</v>
      </c>
    </row>
    <row r="140" spans="1:29">
      <c r="A140" s="1">
        <v>1904</v>
      </c>
      <c r="B140" s="1" t="s">
        <v>27</v>
      </c>
      <c r="C140" s="1">
        <v>1010</v>
      </c>
      <c r="D140" s="1" t="s">
        <v>4</v>
      </c>
      <c r="F140" s="1">
        <v>1897</v>
      </c>
      <c r="G140" s="2">
        <f>4950311/5752841</f>
        <v>0.86049849109335719</v>
      </c>
      <c r="H140" s="2">
        <f>(9644.18+104048.99)/5752841</f>
        <v>1.9762960596338402E-2</v>
      </c>
      <c r="I140" s="2">
        <f t="shared" si="66"/>
        <v>0.11973854831030439</v>
      </c>
      <c r="J140" s="2">
        <f t="shared" si="67"/>
        <v>0.30040177572037563</v>
      </c>
      <c r="K140" s="4" t="s">
        <v>15</v>
      </c>
      <c r="O140" s="1">
        <v>1929</v>
      </c>
      <c r="P140" s="1">
        <v>843905</v>
      </c>
      <c r="Q140" s="1" t="s">
        <v>7</v>
      </c>
      <c r="T140" s="1">
        <v>1895</v>
      </c>
      <c r="U140" s="1" t="s">
        <v>30</v>
      </c>
      <c r="V140" s="1">
        <v>620</v>
      </c>
      <c r="W140" s="1">
        <v>1906</v>
      </c>
      <c r="X140" s="14">
        <f t="shared" si="58"/>
        <v>13.958904177464188</v>
      </c>
      <c r="Y140" s="1">
        <v>1009105</v>
      </c>
      <c r="Z140" s="1">
        <v>14086</v>
      </c>
      <c r="AA140" s="1">
        <f>17698986-7014923</f>
        <v>10684063</v>
      </c>
      <c r="AB140" s="2">
        <f>((Z140*1000)/AA140)-1</f>
        <v>0.31841229315102315</v>
      </c>
      <c r="AC140" s="2">
        <v>0.53800000000000003</v>
      </c>
    </row>
    <row r="141" spans="1:29">
      <c r="A141" s="1">
        <v>1904</v>
      </c>
      <c r="B141" s="1" t="s">
        <v>28</v>
      </c>
      <c r="C141" s="1">
        <v>1020</v>
      </c>
      <c r="D141" s="1" t="s">
        <v>4</v>
      </c>
      <c r="F141" s="1">
        <v>1898</v>
      </c>
      <c r="G141" s="2">
        <f>5059588/9083135</f>
        <v>0.55703102508109814</v>
      </c>
      <c r="H141" s="2">
        <f>(9644.18+104048.99)/9083135</f>
        <v>1.251695257199194E-2</v>
      </c>
      <c r="I141" s="2">
        <f t="shared" si="66"/>
        <v>0.43045202234690993</v>
      </c>
      <c r="J141" s="2">
        <f t="shared" si="67"/>
        <v>-2.4663035139361189E-2</v>
      </c>
      <c r="K141" s="4" t="s">
        <v>15</v>
      </c>
      <c r="O141" s="1">
        <v>1930</v>
      </c>
      <c r="P141" s="1">
        <v>851554</v>
      </c>
      <c r="Q141" s="1" t="s">
        <v>8</v>
      </c>
      <c r="T141" s="1">
        <v>1895</v>
      </c>
      <c r="U141" s="1" t="s">
        <v>31</v>
      </c>
      <c r="V141" s="1">
        <v>575</v>
      </c>
      <c r="W141" s="1">
        <v>1907</v>
      </c>
      <c r="X141" s="14">
        <f t="shared" si="58"/>
        <v>14.029624921277728</v>
      </c>
      <c r="Y141" s="1">
        <v>1025758</v>
      </c>
      <c r="Z141" s="1">
        <v>14391</v>
      </c>
      <c r="AB141" s="2"/>
      <c r="AC141" s="7">
        <v>0.52</v>
      </c>
    </row>
    <row r="142" spans="1:29">
      <c r="A142" s="1">
        <v>1904</v>
      </c>
      <c r="B142" s="1" t="s">
        <v>29</v>
      </c>
      <c r="C142" s="1">
        <v>1030</v>
      </c>
      <c r="D142" s="1" t="s">
        <v>4</v>
      </c>
      <c r="F142" s="1">
        <v>1899</v>
      </c>
      <c r="G142" s="2">
        <f>5759895/9170312</f>
        <v>0.62810240262272432</v>
      </c>
      <c r="H142" s="2">
        <f>(6734.73+233844.75)/9170312</f>
        <v>2.6234601396331991E-2</v>
      </c>
      <c r="I142" s="2">
        <f t="shared" si="66"/>
        <v>0.34566299598094363</v>
      </c>
      <c r="J142" s="2">
        <f t="shared" si="67"/>
        <v>3.8772098990981663E-2</v>
      </c>
      <c r="K142" s="4" t="s">
        <v>15</v>
      </c>
      <c r="O142" s="1">
        <v>1931</v>
      </c>
      <c r="P142" s="1">
        <v>857337</v>
      </c>
      <c r="Q142" s="1" t="s">
        <v>8</v>
      </c>
      <c r="T142" s="1">
        <v>1895</v>
      </c>
      <c r="U142" s="1" t="s">
        <v>32</v>
      </c>
      <c r="V142" s="1">
        <v>575</v>
      </c>
      <c r="W142" s="1">
        <v>1908</v>
      </c>
      <c r="X142" s="14">
        <f t="shared" si="58"/>
        <v>13.983116681340308</v>
      </c>
      <c r="Y142" s="1">
        <v>1042686</v>
      </c>
      <c r="Z142" s="1">
        <v>14580</v>
      </c>
      <c r="AA142" s="1">
        <f>20305421-6978940</f>
        <v>13326481</v>
      </c>
      <c r="AB142" s="2">
        <f>((Z142*1000)/AA142)-1</f>
        <v>9.4062265950028312E-2</v>
      </c>
      <c r="AC142" s="2">
        <v>0.51200000000000001</v>
      </c>
    </row>
    <row r="143" spans="1:29">
      <c r="A143" s="1">
        <v>1904</v>
      </c>
      <c r="B143" s="1" t="s">
        <v>30</v>
      </c>
      <c r="C143" s="1">
        <v>1030</v>
      </c>
      <c r="D143" s="1" t="s">
        <v>4</v>
      </c>
      <c r="F143" s="1">
        <v>1900</v>
      </c>
      <c r="G143" s="2">
        <f>8428705/9586963</f>
        <v>0.87918405442891556</v>
      </c>
      <c r="H143" s="2">
        <f>12380.99/9586963</f>
        <v>1.2914402611129301E-3</v>
      </c>
      <c r="I143" s="2">
        <f t="shared" si="66"/>
        <v>0.1195245053099715</v>
      </c>
      <c r="J143" s="2">
        <f t="shared" si="67"/>
        <v>-3.5357002252312975E-2</v>
      </c>
      <c r="K143" s="4" t="s">
        <v>15</v>
      </c>
      <c r="O143" s="1">
        <v>1932</v>
      </c>
      <c r="P143" s="1">
        <v>870197</v>
      </c>
      <c r="Q143" s="1" t="s">
        <v>8</v>
      </c>
      <c r="T143" s="1">
        <v>1895</v>
      </c>
      <c r="U143" s="1" t="s">
        <v>33</v>
      </c>
      <c r="V143" s="1">
        <v>570</v>
      </c>
      <c r="W143" s="1">
        <v>1909</v>
      </c>
      <c r="X143" s="14">
        <f t="shared" si="58"/>
        <v>14.168639111773354</v>
      </c>
      <c r="Y143" s="1">
        <v>1061711</v>
      </c>
      <c r="Z143" s="1">
        <v>15043</v>
      </c>
      <c r="AB143" s="2"/>
      <c r="AC143" s="2">
        <v>0.503</v>
      </c>
    </row>
    <row r="144" spans="1:29">
      <c r="A144" s="1">
        <v>1904</v>
      </c>
      <c r="B144" s="1" t="s">
        <v>31</v>
      </c>
      <c r="C144" s="1">
        <v>1030</v>
      </c>
      <c r="D144" s="1" t="s">
        <v>4</v>
      </c>
      <c r="F144" s="1">
        <v>1901</v>
      </c>
      <c r="G144" s="2">
        <f>9930348/11412746</f>
        <v>0.87011031350386669</v>
      </c>
      <c r="H144" s="2">
        <f>21189.4/11412746</f>
        <v>1.8566434405882686E-3</v>
      </c>
      <c r="I144" s="2">
        <f t="shared" si="66"/>
        <v>0.12803304305554508</v>
      </c>
      <c r="J144" s="2">
        <f t="shared" si="67"/>
        <v>0.12511150687945194</v>
      </c>
      <c r="K144" s="4" t="s">
        <v>15</v>
      </c>
      <c r="O144" s="1">
        <v>1933</v>
      </c>
      <c r="P144" s="1">
        <v>872250</v>
      </c>
      <c r="Q144" s="1" t="s">
        <v>8</v>
      </c>
      <c r="T144" s="1">
        <v>1896</v>
      </c>
      <c r="U144" s="1" t="s">
        <v>22</v>
      </c>
      <c r="V144" s="1">
        <v>565</v>
      </c>
      <c r="W144" s="1">
        <v>1910</v>
      </c>
      <c r="X144" s="14">
        <f t="shared" si="58"/>
        <v>15.051559360789726</v>
      </c>
      <c r="Y144" s="1">
        <v>1081084</v>
      </c>
      <c r="Z144" s="1">
        <v>16272</v>
      </c>
      <c r="AB144" s="7"/>
      <c r="AC144" s="7">
        <v>0.51</v>
      </c>
    </row>
    <row r="145" spans="1:30">
      <c r="A145" s="1">
        <v>1904</v>
      </c>
      <c r="B145" s="1" t="s">
        <v>32</v>
      </c>
      <c r="C145" s="1">
        <v>1260</v>
      </c>
      <c r="D145" s="1" t="s">
        <v>4</v>
      </c>
      <c r="F145" s="1">
        <v>1902</v>
      </c>
      <c r="G145" s="2">
        <f>9479624/11018316</f>
        <v>0.86035143664422042</v>
      </c>
      <c r="H145" s="2">
        <f>24165.65/11018316</f>
        <v>2.1932253531301879E-3</v>
      </c>
      <c r="I145" s="2">
        <f t="shared" si="66"/>
        <v>0.13745533800264942</v>
      </c>
      <c r="J145" s="2">
        <f t="shared" si="67"/>
        <v>-0.10165989365382355</v>
      </c>
      <c r="K145" s="4" t="s">
        <v>15</v>
      </c>
      <c r="O145" s="1">
        <v>1934</v>
      </c>
      <c r="P145" s="1">
        <v>901773</v>
      </c>
      <c r="Q145" s="1" t="s">
        <v>8</v>
      </c>
      <c r="T145" s="1">
        <v>1896</v>
      </c>
      <c r="U145" s="1" t="s">
        <v>23</v>
      </c>
      <c r="V145" s="1">
        <v>565</v>
      </c>
      <c r="W145" s="1">
        <v>1911</v>
      </c>
      <c r="Y145" s="1">
        <v>1101718</v>
      </c>
    </row>
    <row r="146" spans="1:30">
      <c r="A146" s="1">
        <v>1904</v>
      </c>
      <c r="B146" s="1" t="s">
        <v>33</v>
      </c>
      <c r="C146" s="1">
        <v>1200</v>
      </c>
      <c r="D146" s="1" t="s">
        <v>4</v>
      </c>
      <c r="F146" s="1">
        <v>1903</v>
      </c>
      <c r="G146" s="2">
        <f>12960674/15392704</f>
        <v>0.84200111949141621</v>
      </c>
      <c r="H146" s="2">
        <f>(79568.93+42000)/15392704</f>
        <v>7.8978280879045022E-3</v>
      </c>
      <c r="I146" s="2">
        <f t="shared" si="66"/>
        <v>0.15010105242067928</v>
      </c>
      <c r="J146" s="2">
        <f t="shared" si="67"/>
        <v>0.34155325965886152</v>
      </c>
      <c r="K146" s="4" t="s">
        <v>15</v>
      </c>
      <c r="O146" s="1">
        <v>1935</v>
      </c>
      <c r="P146" s="1">
        <v>926850</v>
      </c>
      <c r="Q146" s="1" t="s">
        <v>8</v>
      </c>
      <c r="T146" s="1">
        <v>1896</v>
      </c>
      <c r="U146" s="1" t="s">
        <v>24</v>
      </c>
      <c r="V146" s="1">
        <v>567</v>
      </c>
    </row>
    <row r="147" spans="1:30">
      <c r="A147" s="1">
        <v>1905</v>
      </c>
      <c r="B147" s="1" t="s">
        <v>22</v>
      </c>
      <c r="C147" s="1">
        <v>1030</v>
      </c>
      <c r="D147" s="1" t="s">
        <v>4</v>
      </c>
      <c r="F147" s="1">
        <v>1907</v>
      </c>
      <c r="G147" s="2">
        <f t="shared" ref="G147:G148" si="68">(S6/F94)/J92</f>
        <v>0.88165711886223352</v>
      </c>
      <c r="H147" s="2">
        <f>26482.53/J92</f>
        <v>8.6884940944881878E-3</v>
      </c>
      <c r="I147" s="2">
        <f t="shared" si="66"/>
        <v>0.10965438704327823</v>
      </c>
      <c r="J147" s="2">
        <f t="shared" ref="J147:J151" si="69">(J92/J91)-1</f>
        <v>0.4023479943111048</v>
      </c>
      <c r="K147" s="4" t="s">
        <v>15</v>
      </c>
      <c r="O147" s="1">
        <v>1936</v>
      </c>
      <c r="P147" s="1">
        <v>931779</v>
      </c>
      <c r="Q147" s="1" t="s">
        <v>8</v>
      </c>
      <c r="T147" s="1">
        <v>1896</v>
      </c>
      <c r="U147" s="1" t="s">
        <v>25</v>
      </c>
      <c r="V147" s="1">
        <v>580</v>
      </c>
    </row>
    <row r="148" spans="1:30">
      <c r="A148" s="1">
        <v>1905</v>
      </c>
      <c r="B148" s="1" t="s">
        <v>23</v>
      </c>
      <c r="C148" s="1">
        <v>1080</v>
      </c>
      <c r="D148" s="1" t="s">
        <v>4</v>
      </c>
      <c r="F148" s="1">
        <v>1908</v>
      </c>
      <c r="G148" s="2">
        <f t="shared" si="68"/>
        <v>0.58620911889587157</v>
      </c>
      <c r="H148" s="2">
        <f>4670.9/J93</f>
        <v>1.6223053386415216E-3</v>
      </c>
      <c r="I148" s="2">
        <f t="shared" si="66"/>
        <v>0.41216857576548693</v>
      </c>
      <c r="J148" s="2">
        <f t="shared" si="69"/>
        <v>-5.5388976377952814E-2</v>
      </c>
      <c r="K148" s="4" t="s">
        <v>15</v>
      </c>
      <c r="O148" s="1">
        <v>1937</v>
      </c>
      <c r="P148" s="1">
        <v>936126</v>
      </c>
      <c r="Q148" s="1" t="s">
        <v>8</v>
      </c>
      <c r="T148" s="1">
        <v>1896</v>
      </c>
      <c r="U148" s="1" t="s">
        <v>26</v>
      </c>
      <c r="V148" s="1">
        <v>600</v>
      </c>
      <c r="Z148" s="1" t="s">
        <v>84</v>
      </c>
    </row>
    <row r="149" spans="1:30">
      <c r="A149" s="1">
        <v>1905</v>
      </c>
      <c r="B149" s="1" t="s">
        <v>24</v>
      </c>
      <c r="C149" s="1">
        <v>1065</v>
      </c>
      <c r="D149" s="1" t="s">
        <v>4</v>
      </c>
      <c r="F149" s="1">
        <v>1914</v>
      </c>
      <c r="G149" s="2">
        <f t="shared" ref="G149:G151" si="70">(R8+(S8/F101))/J99</f>
        <v>0.81830870534997358</v>
      </c>
      <c r="H149" s="2">
        <f>19276.65/J99</f>
        <v>7.0018343510021355E-3</v>
      </c>
      <c r="I149" s="2">
        <f t="shared" si="66"/>
        <v>0.17468946029902432</v>
      </c>
      <c r="J149" s="2">
        <f t="shared" si="69"/>
        <v>-0.10228365269224604</v>
      </c>
      <c r="K149" s="4" t="s">
        <v>15</v>
      </c>
      <c r="O149" s="1">
        <v>1938</v>
      </c>
      <c r="P149" s="1">
        <v>954848</v>
      </c>
      <c r="Q149" s="1" t="s">
        <v>8</v>
      </c>
      <c r="T149" s="1">
        <v>1896</v>
      </c>
      <c r="U149" s="1" t="s">
        <v>27</v>
      </c>
      <c r="V149" s="1">
        <v>605</v>
      </c>
      <c r="X149" s="1" t="s">
        <v>1</v>
      </c>
      <c r="Y149" s="1" t="s">
        <v>153</v>
      </c>
      <c r="Z149" s="1" t="s">
        <v>154</v>
      </c>
      <c r="AA149" s="1" t="s">
        <v>155</v>
      </c>
      <c r="AB149" s="1" t="s">
        <v>156</v>
      </c>
      <c r="AC149" s="1" t="s">
        <v>157</v>
      </c>
    </row>
    <row r="150" spans="1:30">
      <c r="A150" s="1">
        <v>1905</v>
      </c>
      <c r="B150" s="1" t="s">
        <v>25</v>
      </c>
      <c r="C150" s="1">
        <v>1065</v>
      </c>
      <c r="D150" s="1" t="s">
        <v>4</v>
      </c>
      <c r="F150" s="1">
        <v>1915</v>
      </c>
      <c r="G150" s="2">
        <f t="shared" si="70"/>
        <v>0.67279357243230309</v>
      </c>
      <c r="H150" s="7">
        <v>0</v>
      </c>
      <c r="I150" s="2">
        <f t="shared" si="66"/>
        <v>0.32720642756769691</v>
      </c>
      <c r="J150" s="2">
        <f t="shared" si="69"/>
        <v>0.14389871826286282</v>
      </c>
      <c r="K150" s="43">
        <f>((P137/P136)^(1/6))-1</f>
        <v>1.0621923908974429E-2</v>
      </c>
      <c r="O150" s="1">
        <v>1939</v>
      </c>
      <c r="P150" s="1">
        <v>987824</v>
      </c>
      <c r="Q150" s="1" t="s">
        <v>8</v>
      </c>
      <c r="T150" s="1">
        <v>1896</v>
      </c>
      <c r="U150" s="1" t="s">
        <v>28</v>
      </c>
      <c r="V150" s="1">
        <v>590</v>
      </c>
      <c r="W150" s="1" t="s">
        <v>158</v>
      </c>
      <c r="X150" s="1">
        <v>1881</v>
      </c>
      <c r="Y150" s="1">
        <v>21345000</v>
      </c>
      <c r="Z150" s="1">
        <v>28381000</v>
      </c>
      <c r="AA150" s="8">
        <f t="shared" ref="AA150:AA190" si="71">(Y150/Z150)-1</f>
        <v>-0.24791233571755755</v>
      </c>
      <c r="AB150" s="8">
        <v>0.69299999999999995</v>
      </c>
      <c r="AC150" s="1">
        <v>2467000</v>
      </c>
      <c r="AD150" s="14">
        <f t="shared" ref="AD150:AD190" si="72">Y150/AC150</f>
        <v>8.6522091609241993</v>
      </c>
    </row>
    <row r="151" spans="1:30">
      <c r="A151" s="1">
        <v>1905</v>
      </c>
      <c r="B151" s="1" t="s">
        <v>26</v>
      </c>
      <c r="C151" s="1">
        <v>1065</v>
      </c>
      <c r="D151" s="1" t="s">
        <v>4</v>
      </c>
      <c r="F151" s="1">
        <v>1916</v>
      </c>
      <c r="G151" s="2">
        <f t="shared" si="70"/>
        <v>0.71588406416766293</v>
      </c>
      <c r="H151" s="7">
        <v>0</v>
      </c>
      <c r="I151" s="2">
        <f t="shared" si="66"/>
        <v>0.28411593583233707</v>
      </c>
      <c r="J151" s="2">
        <f t="shared" si="69"/>
        <v>5.2255047001795285E-2</v>
      </c>
      <c r="K151" s="43">
        <v>1.0621923908974429E-2</v>
      </c>
      <c r="O151" s="1">
        <v>1940</v>
      </c>
      <c r="P151" s="1">
        <v>1014773</v>
      </c>
      <c r="Q151" s="1" t="s">
        <v>8</v>
      </c>
      <c r="T151" s="1">
        <v>1896</v>
      </c>
      <c r="U151" s="1" t="s">
        <v>29</v>
      </c>
      <c r="V151" s="1">
        <v>590</v>
      </c>
      <c r="W151" s="1" t="s">
        <v>158</v>
      </c>
      <c r="X151" s="1">
        <v>1882</v>
      </c>
      <c r="Y151" s="1">
        <v>26822000</v>
      </c>
      <c r="Z151" s="1">
        <v>58007000</v>
      </c>
      <c r="AA151" s="8">
        <f t="shared" si="71"/>
        <v>-0.53760753012567442</v>
      </c>
      <c r="AB151" s="8">
        <v>0.63100000000000001</v>
      </c>
      <c r="AC151" s="1">
        <v>2540000</v>
      </c>
      <c r="AD151" s="14">
        <f t="shared" si="72"/>
        <v>10.55984251968504</v>
      </c>
    </row>
    <row r="152" spans="1:30">
      <c r="A152" s="1">
        <v>1905</v>
      </c>
      <c r="B152" s="1" t="s">
        <v>27</v>
      </c>
      <c r="C152" s="1">
        <v>1065</v>
      </c>
      <c r="D152" s="1" t="s">
        <v>4</v>
      </c>
      <c r="F152" s="10">
        <v>1923</v>
      </c>
      <c r="G152" s="2">
        <f t="shared" ref="G152:G153" si="73">(S13/F110)/J108</f>
        <v>0.8879488322868605</v>
      </c>
      <c r="H152" s="7">
        <v>0</v>
      </c>
      <c r="I152" s="2">
        <f t="shared" si="66"/>
        <v>0.1120511677131395</v>
      </c>
      <c r="J152" s="2">
        <f t="shared" ref="J152:J157" si="74">(J108/J107)-1</f>
        <v>0.23362061977556281</v>
      </c>
      <c r="K152" s="43">
        <f>((P138/P137)^(1/5))-1</f>
        <v>2.3477963249027178E-2</v>
      </c>
      <c r="L152" s="1" t="s">
        <v>159</v>
      </c>
      <c r="O152" s="1">
        <v>1941</v>
      </c>
      <c r="P152" s="1">
        <v>1040420</v>
      </c>
      <c r="Q152" s="1" t="s">
        <v>8</v>
      </c>
      <c r="T152" s="1">
        <v>1896</v>
      </c>
      <c r="U152" s="1" t="s">
        <v>30</v>
      </c>
      <c r="V152" s="1">
        <v>605</v>
      </c>
      <c r="W152" s="1" t="s">
        <v>158</v>
      </c>
      <c r="X152" s="1">
        <v>1883</v>
      </c>
      <c r="Y152" s="1">
        <v>30950000</v>
      </c>
      <c r="Z152" s="1">
        <v>44831000</v>
      </c>
      <c r="AA152" s="8">
        <f t="shared" si="71"/>
        <v>-0.30962949744596369</v>
      </c>
      <c r="AB152" s="8">
        <v>0.63900000000000001</v>
      </c>
      <c r="AC152" s="1">
        <v>2624000</v>
      </c>
      <c r="AD152" s="14">
        <f t="shared" si="72"/>
        <v>11.794969512195122</v>
      </c>
    </row>
    <row r="153" spans="1:30">
      <c r="A153" s="1">
        <v>1905</v>
      </c>
      <c r="B153" s="1" t="s">
        <v>28</v>
      </c>
      <c r="C153" s="1">
        <v>1065</v>
      </c>
      <c r="D153" s="1" t="s">
        <v>4</v>
      </c>
      <c r="F153" s="10">
        <v>1924</v>
      </c>
      <c r="G153" s="2">
        <f t="shared" si="73"/>
        <v>0.87730444186546175</v>
      </c>
      <c r="H153" s="7">
        <v>0</v>
      </c>
      <c r="I153" s="2">
        <f t="shared" si="66"/>
        <v>0.12269555813453825</v>
      </c>
      <c r="J153" s="2">
        <f t="shared" si="74"/>
        <v>0.31187702166512898</v>
      </c>
      <c r="K153" s="43">
        <v>2.3477963249027178E-2</v>
      </c>
      <c r="O153" s="1">
        <v>1942</v>
      </c>
      <c r="P153" s="1">
        <v>1071689</v>
      </c>
      <c r="Q153" s="1" t="s">
        <v>8</v>
      </c>
      <c r="T153" s="1">
        <v>1896</v>
      </c>
      <c r="U153" s="1" t="s">
        <v>31</v>
      </c>
      <c r="V153" s="1">
        <v>595</v>
      </c>
      <c r="W153" s="1" t="s">
        <v>158</v>
      </c>
      <c r="X153" s="1">
        <v>1884</v>
      </c>
      <c r="Y153" s="1">
        <v>37724000</v>
      </c>
      <c r="Z153" s="1">
        <v>56440000</v>
      </c>
      <c r="AA153" s="8">
        <f t="shared" si="71"/>
        <v>-0.33160878809355065</v>
      </c>
      <c r="AB153" s="8">
        <v>0.627</v>
      </c>
      <c r="AC153" s="1">
        <v>2719000</v>
      </c>
      <c r="AD153" s="14">
        <f t="shared" si="72"/>
        <v>13.874218462670099</v>
      </c>
    </row>
    <row r="154" spans="1:30">
      <c r="A154" s="1">
        <v>1905</v>
      </c>
      <c r="B154" s="1" t="s">
        <v>29</v>
      </c>
      <c r="C154" s="1">
        <v>1065</v>
      </c>
      <c r="D154" s="1" t="s">
        <v>4</v>
      </c>
      <c r="F154" s="1">
        <v>1926</v>
      </c>
      <c r="G154" s="2">
        <f t="shared" ref="G154:G157" si="75">((S15/F112)+R15)/J110</f>
        <v>0.72592933348973077</v>
      </c>
      <c r="H154" s="7">
        <v>0</v>
      </c>
      <c r="I154" s="2">
        <f t="shared" si="66"/>
        <v>0.27407066651026923</v>
      </c>
      <c r="J154" s="2">
        <f t="shared" si="74"/>
        <v>0.20230835621592624</v>
      </c>
      <c r="K154" s="43">
        <f>(P139/P138)-1</f>
        <v>5.6011464968152902E-2</v>
      </c>
      <c r="L154" s="1" t="s">
        <v>160</v>
      </c>
      <c r="O154" s="1">
        <v>1943</v>
      </c>
      <c r="P154" s="1">
        <v>1108040</v>
      </c>
      <c r="Q154" s="1" t="s">
        <v>10</v>
      </c>
      <c r="T154" s="1">
        <v>1896</v>
      </c>
      <c r="U154" s="1" t="s">
        <v>32</v>
      </c>
      <c r="V154" s="1">
        <v>583</v>
      </c>
      <c r="W154" s="1" t="s">
        <v>158</v>
      </c>
      <c r="X154" s="1">
        <v>1885</v>
      </c>
      <c r="Y154" s="1">
        <v>26581000</v>
      </c>
      <c r="Z154" s="1">
        <v>40515000</v>
      </c>
      <c r="AA154" s="8">
        <f t="shared" si="71"/>
        <v>-0.34392200419597685</v>
      </c>
      <c r="AB154" s="8">
        <v>0.63700000000000001</v>
      </c>
      <c r="AC154" s="1">
        <v>2846000</v>
      </c>
      <c r="AD154" s="14">
        <f t="shared" si="72"/>
        <v>9.3397751229796206</v>
      </c>
    </row>
    <row r="155" spans="1:30">
      <c r="A155" s="1">
        <v>1905</v>
      </c>
      <c r="B155" s="1" t="s">
        <v>30</v>
      </c>
      <c r="C155" s="1">
        <v>1070</v>
      </c>
      <c r="D155" s="1" t="s">
        <v>4</v>
      </c>
      <c r="F155" s="1">
        <v>1927</v>
      </c>
      <c r="G155" s="2">
        <f t="shared" si="75"/>
        <v>0.60669952049494624</v>
      </c>
      <c r="H155" s="7">
        <v>0</v>
      </c>
      <c r="I155" s="2">
        <f t="shared" si="66"/>
        <v>0.39330047950505376</v>
      </c>
      <c r="J155" s="2">
        <f t="shared" si="74"/>
        <v>0.14172391298979026</v>
      </c>
      <c r="K155" s="43">
        <f>((P140/P139)^(1/3))-1</f>
        <v>5.9701403516128071E-3</v>
      </c>
      <c r="L155" s="1" t="s">
        <v>161</v>
      </c>
      <c r="O155" s="1">
        <v>1944</v>
      </c>
      <c r="P155" s="1">
        <v>1144731</v>
      </c>
      <c r="Q155" s="1" t="s">
        <v>10</v>
      </c>
      <c r="T155" s="1">
        <v>1896</v>
      </c>
      <c r="U155" s="1" t="s">
        <v>33</v>
      </c>
      <c r="V155" s="1">
        <v>610</v>
      </c>
      <c r="W155" s="1" t="s">
        <v>158</v>
      </c>
      <c r="X155" s="1">
        <v>1886</v>
      </c>
      <c r="Y155" s="1">
        <v>26851000</v>
      </c>
      <c r="Z155" s="1">
        <v>39178000</v>
      </c>
      <c r="AA155" s="8">
        <f t="shared" si="71"/>
        <v>-0.31464086987595075</v>
      </c>
      <c r="AB155" s="8">
        <v>0.65600000000000003</v>
      </c>
      <c r="AC155" s="1">
        <v>2959000</v>
      </c>
      <c r="AD155" s="14">
        <f t="shared" si="72"/>
        <v>9.074349442379182</v>
      </c>
    </row>
    <row r="156" spans="1:30">
      <c r="A156" s="1">
        <v>1905</v>
      </c>
      <c r="B156" s="1" t="s">
        <v>31</v>
      </c>
      <c r="C156" s="1">
        <v>1085</v>
      </c>
      <c r="D156" s="1" t="s">
        <v>4</v>
      </c>
      <c r="F156" s="1">
        <v>1928</v>
      </c>
      <c r="G156" s="2">
        <f t="shared" si="75"/>
        <v>0.62788812482912826</v>
      </c>
      <c r="H156" s="7">
        <v>0</v>
      </c>
      <c r="I156" s="2">
        <f t="shared" si="66"/>
        <v>0.37211187517087174</v>
      </c>
      <c r="J156" s="2">
        <f t="shared" si="74"/>
        <v>0.11893048300903231</v>
      </c>
      <c r="K156" s="43">
        <v>5.9701403516128071E-3</v>
      </c>
      <c r="O156" s="1">
        <v>1945</v>
      </c>
      <c r="P156" s="1">
        <v>1182877</v>
      </c>
      <c r="Q156" s="1" t="s">
        <v>11</v>
      </c>
      <c r="T156" s="1">
        <v>1897</v>
      </c>
      <c r="U156" s="1" t="s">
        <v>22</v>
      </c>
      <c r="V156" s="1">
        <v>608</v>
      </c>
      <c r="W156" s="1" t="s">
        <v>158</v>
      </c>
      <c r="X156" s="1">
        <v>1887</v>
      </c>
      <c r="Y156" s="1">
        <v>30395000</v>
      </c>
      <c r="Z156" s="1">
        <v>48205000</v>
      </c>
      <c r="AA156" s="8">
        <f t="shared" si="71"/>
        <v>-0.36946374857379938</v>
      </c>
      <c r="AB156" s="8">
        <v>0.68200000000000005</v>
      </c>
      <c r="AC156" s="1">
        <v>3102000</v>
      </c>
      <c r="AD156" s="14">
        <f t="shared" si="72"/>
        <v>9.7985170857511275</v>
      </c>
    </row>
    <row r="157" spans="1:30">
      <c r="A157" s="1">
        <v>1905</v>
      </c>
      <c r="B157" s="1" t="s">
        <v>32</v>
      </c>
      <c r="C157" s="1">
        <v>1080</v>
      </c>
      <c r="D157" s="1" t="s">
        <v>4</v>
      </c>
      <c r="F157" s="1">
        <v>1929</v>
      </c>
      <c r="G157" s="2">
        <f t="shared" si="75"/>
        <v>0.5287948755611841</v>
      </c>
      <c r="H157" s="7">
        <v>0</v>
      </c>
      <c r="I157" s="2">
        <f t="shared" si="66"/>
        <v>0.4712051244388159</v>
      </c>
      <c r="J157" s="2">
        <f t="shared" si="74"/>
        <v>2.6845078469464267E-2</v>
      </c>
      <c r="K157" s="43">
        <v>5.9701403516128071E-3</v>
      </c>
      <c r="O157" s="1">
        <v>1946</v>
      </c>
      <c r="P157" s="1">
        <v>1225956</v>
      </c>
      <c r="Q157" s="1" t="s">
        <v>12</v>
      </c>
      <c r="T157" s="1">
        <v>1897</v>
      </c>
      <c r="U157" s="1" t="s">
        <v>23</v>
      </c>
      <c r="V157" s="1">
        <v>655</v>
      </c>
      <c r="W157" s="1" t="s">
        <v>158</v>
      </c>
      <c r="X157" s="1">
        <v>1888</v>
      </c>
      <c r="Y157" s="1">
        <v>34892000</v>
      </c>
      <c r="Z157" s="1">
        <v>51596000</v>
      </c>
      <c r="AA157" s="8">
        <f t="shared" si="71"/>
        <v>-0.32374602682378484</v>
      </c>
      <c r="AB157" s="8">
        <v>0.69399999999999995</v>
      </c>
      <c r="AC157" s="1">
        <v>3278000</v>
      </c>
      <c r="AD157" s="14">
        <f t="shared" si="72"/>
        <v>10.644295302013424</v>
      </c>
    </row>
    <row r="158" spans="1:30">
      <c r="A158" s="1">
        <v>1905</v>
      </c>
      <c r="B158" s="1" t="s">
        <v>33</v>
      </c>
      <c r="C158" s="1">
        <v>1085</v>
      </c>
      <c r="D158" s="1" t="s">
        <v>4</v>
      </c>
      <c r="F158" s="1" t="s">
        <v>162</v>
      </c>
      <c r="J158" s="44">
        <f>SUM(J125:J157)^(1/33)</f>
        <v>1.0429908957779965</v>
      </c>
      <c r="O158" s="1">
        <v>1947</v>
      </c>
      <c r="P158" s="1">
        <v>1259826</v>
      </c>
      <c r="Q158" s="1" t="s">
        <v>12</v>
      </c>
      <c r="T158" s="1">
        <v>1897</v>
      </c>
      <c r="U158" s="1" t="s">
        <v>24</v>
      </c>
      <c r="V158" s="1">
        <v>665</v>
      </c>
      <c r="W158" s="1" t="s">
        <v>158</v>
      </c>
      <c r="X158" s="1">
        <v>1889</v>
      </c>
      <c r="Y158" s="1">
        <v>38169000</v>
      </c>
      <c r="Z158" s="1">
        <v>55770000</v>
      </c>
      <c r="AA158" s="8">
        <f t="shared" si="71"/>
        <v>-0.31559978483055406</v>
      </c>
      <c r="AB158" s="8">
        <v>0.63400000000000001</v>
      </c>
      <c r="AC158" s="1">
        <v>3538000</v>
      </c>
      <c r="AD158" s="14">
        <f t="shared" si="72"/>
        <v>10.788298473713963</v>
      </c>
    </row>
    <row r="159" spans="1:30">
      <c r="A159" s="1">
        <v>1906</v>
      </c>
      <c r="B159" s="1" t="s">
        <v>22</v>
      </c>
      <c r="C159" s="1">
        <v>1094</v>
      </c>
      <c r="D159" s="1" t="s">
        <v>4</v>
      </c>
      <c r="F159" s="1" t="s">
        <v>99</v>
      </c>
      <c r="G159" s="1" t="s">
        <v>84</v>
      </c>
      <c r="H159" s="1" t="s">
        <v>93</v>
      </c>
      <c r="I159" s="1" t="s">
        <v>85</v>
      </c>
      <c r="O159" s="1">
        <v>1950</v>
      </c>
      <c r="P159" s="1">
        <v>1328452</v>
      </c>
      <c r="Q159" s="1" t="s">
        <v>13</v>
      </c>
      <c r="T159" s="1">
        <v>1897</v>
      </c>
      <c r="U159" s="1" t="s">
        <v>25</v>
      </c>
      <c r="V159" s="1">
        <v>663</v>
      </c>
      <c r="W159" s="1" t="s">
        <v>158</v>
      </c>
      <c r="X159" s="1">
        <v>1890</v>
      </c>
      <c r="Y159" s="1">
        <v>29143000</v>
      </c>
      <c r="Z159" s="1">
        <v>38145000</v>
      </c>
      <c r="AA159" s="8">
        <f t="shared" si="71"/>
        <v>-0.23599423253375273</v>
      </c>
      <c r="AB159" s="8">
        <v>0.65300000000000002</v>
      </c>
      <c r="AC159" s="1">
        <v>3613000</v>
      </c>
      <c r="AD159" s="14">
        <f t="shared" si="72"/>
        <v>8.0661500138389144</v>
      </c>
    </row>
    <row r="160" spans="1:30">
      <c r="A160" s="1">
        <v>1906</v>
      </c>
      <c r="B160" s="1" t="s">
        <v>23</v>
      </c>
      <c r="C160" s="1">
        <v>1098</v>
      </c>
      <c r="D160" s="1" t="s">
        <v>4</v>
      </c>
      <c r="F160" s="1" t="s">
        <v>100</v>
      </c>
      <c r="G160" s="14">
        <f>AVERAGE(AD150:AD159)/2.2727</f>
        <v>4.5141296737867149</v>
      </c>
      <c r="H160" s="14">
        <f>((J68/M163)+(J69/M164)+(J70/M165)+(J71/M166)+(J72/M167)+(J73/M168)+(J74/M169)+(J75/M170)+(J76/M171)+(J77/M172))/10</f>
        <v>6.6839646499369394</v>
      </c>
      <c r="I160" s="14">
        <f>AVERAGE(X115:X124)</f>
        <v>13.32811350417443</v>
      </c>
      <c r="M160" s="14">
        <f>AVERAGE(J68:J77)/AVERAGE(M163:M172)</f>
        <v>6.8376082751477334</v>
      </c>
      <c r="O160" s="1" t="s">
        <v>163</v>
      </c>
      <c r="T160" s="1">
        <v>1897</v>
      </c>
      <c r="U160" s="1" t="s">
        <v>26</v>
      </c>
      <c r="V160" s="1">
        <v>660</v>
      </c>
      <c r="W160" s="1" t="s">
        <v>158</v>
      </c>
      <c r="X160" s="1">
        <v>1891</v>
      </c>
      <c r="Y160" s="1">
        <v>19498000</v>
      </c>
      <c r="Z160" s="1">
        <v>33664000</v>
      </c>
      <c r="AA160" s="8">
        <f t="shared" si="71"/>
        <v>-0.42080560836501901</v>
      </c>
      <c r="AB160" s="8">
        <v>0.69499999999999995</v>
      </c>
      <c r="AC160" s="1">
        <v>3627000</v>
      </c>
      <c r="AD160" s="14">
        <f t="shared" si="72"/>
        <v>5.3757926661152471</v>
      </c>
    </row>
    <row r="161" spans="1:30">
      <c r="A161" s="1">
        <v>1906</v>
      </c>
      <c r="B161" s="1" t="s">
        <v>24</v>
      </c>
      <c r="C161" s="1">
        <v>1103</v>
      </c>
      <c r="D161" s="1" t="s">
        <v>4</v>
      </c>
      <c r="F161" s="1" t="s">
        <v>101</v>
      </c>
      <c r="G161" s="14">
        <f>AVERAGE(AD160:AD169)/2.2727</f>
        <v>4.728066279737595</v>
      </c>
      <c r="H161" s="14">
        <f>((J78/M173)+(J79/M174)+(J80/M175)+(J81/M176)+(J82/M177)+(J83/M178)+(J84/M179)+(J85/M180)+(J86/M181)+(J87/M182))/10</f>
        <v>2.9309927650918519</v>
      </c>
      <c r="I161" s="14">
        <f>AVERAGE(X125:X134)</f>
        <v>12.156545089196829</v>
      </c>
      <c r="T161" s="1">
        <v>1897</v>
      </c>
      <c r="U161" s="1" t="s">
        <v>27</v>
      </c>
      <c r="V161" s="1">
        <v>660</v>
      </c>
      <c r="W161" s="1" t="s">
        <v>158</v>
      </c>
      <c r="X161" s="1">
        <v>1892</v>
      </c>
      <c r="Y161" s="1">
        <v>32597000</v>
      </c>
      <c r="Z161" s="1">
        <v>38685000</v>
      </c>
      <c r="AA161" s="8">
        <f t="shared" si="71"/>
        <v>-0.157373659040972</v>
      </c>
      <c r="AB161" s="8">
        <v>0.74399999999999999</v>
      </c>
      <c r="AC161" s="1">
        <v>3700000</v>
      </c>
      <c r="AD161" s="14">
        <f t="shared" si="72"/>
        <v>8.81</v>
      </c>
    </row>
    <row r="162" spans="1:30">
      <c r="A162" s="1">
        <v>1906</v>
      </c>
      <c r="B162" s="1" t="s">
        <v>25</v>
      </c>
      <c r="C162" s="1">
        <v>1110</v>
      </c>
      <c r="D162" s="1" t="s">
        <v>4</v>
      </c>
      <c r="F162" s="1" t="s">
        <v>102</v>
      </c>
      <c r="G162" s="14">
        <f>AVERAGE(AD170:AD179)/2.2727</f>
        <v>7.3684917731021553</v>
      </c>
      <c r="H162" s="14">
        <f>SUM(J88:J95)/(650000*8)</f>
        <v>3.9544469040412276</v>
      </c>
      <c r="I162" s="14">
        <f>AVERAGE(X135:X144)</f>
        <v>12.670748019511052</v>
      </c>
      <c r="P162" s="1" t="s">
        <v>164</v>
      </c>
      <c r="T162" s="1">
        <v>1897</v>
      </c>
      <c r="U162" s="1" t="s">
        <v>28</v>
      </c>
      <c r="V162" s="1">
        <v>685</v>
      </c>
      <c r="W162" s="1" t="s">
        <v>158</v>
      </c>
      <c r="X162" s="1">
        <v>1893</v>
      </c>
      <c r="Y162" s="1">
        <v>38389000</v>
      </c>
      <c r="Z162" s="1">
        <v>38047000</v>
      </c>
      <c r="AA162" s="8">
        <f t="shared" si="71"/>
        <v>8.9888821720502943E-3</v>
      </c>
      <c r="AB162" s="8">
        <v>0.72599999999999998</v>
      </c>
      <c r="AC162" s="1">
        <v>3780000</v>
      </c>
      <c r="AD162" s="14">
        <f t="shared" si="72"/>
        <v>10.155820105820105</v>
      </c>
    </row>
    <row r="163" spans="1:30">
      <c r="A163" s="1">
        <v>1906</v>
      </c>
      <c r="B163" s="1" t="s">
        <v>26</v>
      </c>
      <c r="C163" s="1">
        <v>1115</v>
      </c>
      <c r="D163" s="1" t="s">
        <v>4</v>
      </c>
      <c r="F163" s="1" t="s">
        <v>103</v>
      </c>
      <c r="G163" s="14">
        <f>AVERAGE(AD180:AD185)/2.2727</f>
        <v>8.1395669099090444</v>
      </c>
      <c r="H163" s="14">
        <f>SUM(J96:J105)/(650000*10)</f>
        <v>4.7101908779464887</v>
      </c>
      <c r="I163" s="4" t="s">
        <v>15</v>
      </c>
      <c r="L163" s="1">
        <v>1881</v>
      </c>
      <c r="M163" s="3">
        <f t="shared" ref="M163:M167" si="76">M164/1.02</f>
        <v>292473.15872541745</v>
      </c>
      <c r="P163" s="4" t="s">
        <v>165</v>
      </c>
      <c r="Q163" s="5" t="s">
        <v>166</v>
      </c>
      <c r="R163" s="4" t="s">
        <v>167</v>
      </c>
      <c r="T163" s="1">
        <v>1897</v>
      </c>
      <c r="U163" s="1" t="s">
        <v>29</v>
      </c>
      <c r="V163" s="1">
        <v>689</v>
      </c>
      <c r="W163" s="1" t="s">
        <v>158</v>
      </c>
      <c r="X163" s="1">
        <v>1894</v>
      </c>
      <c r="Y163" s="1">
        <v>34178000</v>
      </c>
      <c r="Z163" s="1">
        <v>40114000</v>
      </c>
      <c r="AA163" s="8">
        <f t="shared" si="71"/>
        <v>-0.14797826195343267</v>
      </c>
      <c r="AB163" s="8">
        <v>0.67600000000000005</v>
      </c>
      <c r="AC163" s="1">
        <v>3865000</v>
      </c>
      <c r="AD163" s="14">
        <f t="shared" si="72"/>
        <v>8.8429495472186286</v>
      </c>
    </row>
    <row r="164" spans="1:30">
      <c r="A164" s="1">
        <v>1906</v>
      </c>
      <c r="B164" s="1" t="s">
        <v>27</v>
      </c>
      <c r="C164" s="1">
        <v>1120</v>
      </c>
      <c r="D164" s="1" t="s">
        <v>4</v>
      </c>
      <c r="F164" s="1" t="s">
        <v>104</v>
      </c>
      <c r="G164" s="14">
        <f>AVERAGE(AD186:AD190)/2.2727</f>
        <v>12.629420599830992</v>
      </c>
      <c r="H164" s="14">
        <f>SUM(J106:J113)/(AVERAGE(M185:M188)*7)</f>
        <v>6.7807333045973133</v>
      </c>
      <c r="I164" s="4" t="s">
        <v>15</v>
      </c>
      <c r="L164" s="1">
        <v>1882</v>
      </c>
      <c r="M164" s="3">
        <f t="shared" si="76"/>
        <v>298322.62189992581</v>
      </c>
      <c r="P164" s="4" t="s">
        <v>0</v>
      </c>
      <c r="Q164" s="4" t="s">
        <v>168</v>
      </c>
      <c r="R164" s="4" t="s">
        <v>169</v>
      </c>
      <c r="T164" s="1">
        <v>1897</v>
      </c>
      <c r="U164" s="1" t="s">
        <v>30</v>
      </c>
      <c r="V164" s="1">
        <v>690</v>
      </c>
      <c r="W164" s="1" t="s">
        <v>158</v>
      </c>
      <c r="X164" s="1">
        <v>1895</v>
      </c>
      <c r="Y164" s="1">
        <v>38226000</v>
      </c>
      <c r="Z164" s="1">
        <v>48505000</v>
      </c>
      <c r="AA164" s="8">
        <f t="shared" si="71"/>
        <v>-0.21191629728893924</v>
      </c>
      <c r="AB164" s="8">
        <v>0.64500000000000002</v>
      </c>
      <c r="AC164" s="1">
        <v>3956000</v>
      </c>
      <c r="AD164" s="14">
        <f t="shared" si="72"/>
        <v>9.6627906976744189</v>
      </c>
    </row>
    <row r="165" spans="1:30">
      <c r="A165" s="1">
        <v>1906</v>
      </c>
      <c r="B165" s="1" t="s">
        <v>28</v>
      </c>
      <c r="C165" s="1">
        <v>1140</v>
      </c>
      <c r="D165" s="1" t="s">
        <v>4</v>
      </c>
      <c r="F165" s="1" t="s">
        <v>96</v>
      </c>
      <c r="G165" s="14">
        <f t="shared" ref="G165:H165" si="77">AVERAGE(G160:G164)</f>
        <v>7.4759350472733006</v>
      </c>
      <c r="H165" s="14">
        <f t="shared" si="77"/>
        <v>5.0120657003227631</v>
      </c>
      <c r="I165" s="14">
        <f>AVERAGE(I160:I162)</f>
        <v>12.71846887096077</v>
      </c>
      <c r="L165" s="1">
        <v>1883</v>
      </c>
      <c r="M165" s="3">
        <f t="shared" si="76"/>
        <v>304289.07433792431</v>
      </c>
      <c r="P165" s="4" t="s">
        <v>14</v>
      </c>
      <c r="Q165" s="4" t="s">
        <v>170</v>
      </c>
      <c r="R165" s="4" t="s">
        <v>171</v>
      </c>
      <c r="T165" s="1">
        <v>1897</v>
      </c>
      <c r="U165" s="1" t="s">
        <v>31</v>
      </c>
      <c r="V165" s="1">
        <v>693</v>
      </c>
      <c r="W165" s="1" t="s">
        <v>158</v>
      </c>
      <c r="X165" s="1">
        <v>1896</v>
      </c>
      <c r="Y165" s="1">
        <v>42008000</v>
      </c>
      <c r="Z165" s="1">
        <v>78212000</v>
      </c>
      <c r="AA165" s="8">
        <f t="shared" si="71"/>
        <v>-0.4628957193269575</v>
      </c>
      <c r="AB165" s="8">
        <v>0.63900000000000001</v>
      </c>
      <c r="AC165" s="1">
        <v>4121000</v>
      </c>
      <c r="AD165" s="14">
        <f t="shared" si="72"/>
        <v>10.193642319825285</v>
      </c>
    </row>
    <row r="166" spans="1:30">
      <c r="A166" s="1">
        <v>1906</v>
      </c>
      <c r="B166" s="1" t="s">
        <v>29</v>
      </c>
      <c r="C166" s="1">
        <v>1140</v>
      </c>
      <c r="D166" s="1" t="s">
        <v>4</v>
      </c>
      <c r="F166" s="1" t="s">
        <v>172</v>
      </c>
      <c r="L166" s="1">
        <v>1884</v>
      </c>
      <c r="M166" s="3">
        <f t="shared" si="76"/>
        <v>310374.8558246828</v>
      </c>
      <c r="P166" s="4" t="s">
        <v>173</v>
      </c>
      <c r="Q166" s="4" t="s">
        <v>174</v>
      </c>
      <c r="R166" s="4" t="s">
        <v>175</v>
      </c>
      <c r="T166" s="1">
        <v>1897</v>
      </c>
      <c r="U166" s="1" t="s">
        <v>32</v>
      </c>
      <c r="V166" s="1">
        <v>695</v>
      </c>
      <c r="W166" s="1" t="s">
        <v>158</v>
      </c>
      <c r="X166" s="1">
        <v>1897</v>
      </c>
      <c r="Y166" s="1">
        <v>51440000</v>
      </c>
      <c r="Z166" s="1">
        <v>61010000</v>
      </c>
      <c r="AA166" s="8">
        <f t="shared" si="71"/>
        <v>-0.15685953122438945</v>
      </c>
      <c r="AB166" s="8">
        <v>0.48899999999999999</v>
      </c>
      <c r="AC166" s="1">
        <v>4248000</v>
      </c>
      <c r="AD166" s="14">
        <f t="shared" si="72"/>
        <v>12.109227871939737</v>
      </c>
    </row>
    <row r="167" spans="1:30">
      <c r="A167" s="1">
        <v>1906</v>
      </c>
      <c r="B167" s="1" t="s">
        <v>30</v>
      </c>
      <c r="C167" s="1">
        <v>1050</v>
      </c>
      <c r="D167" s="1" t="s">
        <v>4</v>
      </c>
      <c r="F167" s="1" t="s">
        <v>176</v>
      </c>
      <c r="L167" s="1">
        <v>1885</v>
      </c>
      <c r="M167" s="3">
        <f t="shared" si="76"/>
        <v>316582.35294117645</v>
      </c>
      <c r="P167" s="4" t="s">
        <v>177</v>
      </c>
      <c r="Q167" s="4" t="s">
        <v>178</v>
      </c>
      <c r="R167" s="4" t="s">
        <v>175</v>
      </c>
      <c r="T167" s="1">
        <v>1897</v>
      </c>
      <c r="U167" s="1" t="s">
        <v>33</v>
      </c>
      <c r="V167" s="1">
        <v>695</v>
      </c>
      <c r="W167" s="1" t="s">
        <v>158</v>
      </c>
      <c r="X167" s="1">
        <v>1898</v>
      </c>
      <c r="Y167" s="1">
        <v>53158000</v>
      </c>
      <c r="Z167" s="1">
        <v>121289000</v>
      </c>
      <c r="AA167" s="8">
        <f t="shared" si="71"/>
        <v>-0.56172447625093791</v>
      </c>
      <c r="AB167" s="8">
        <v>0.504</v>
      </c>
      <c r="AC167" s="1">
        <v>4372000</v>
      </c>
      <c r="AD167" s="14">
        <f t="shared" si="72"/>
        <v>12.158737419945105</v>
      </c>
    </row>
    <row r="168" spans="1:30">
      <c r="A168" s="1">
        <v>1906</v>
      </c>
      <c r="B168" s="1" t="s">
        <v>31</v>
      </c>
      <c r="C168" s="1">
        <v>1025</v>
      </c>
      <c r="D168" s="1" t="s">
        <v>4</v>
      </c>
      <c r="F168" s="1" t="s">
        <v>99</v>
      </c>
      <c r="G168" s="1" t="s">
        <v>84</v>
      </c>
      <c r="H168" s="1" t="s">
        <v>86</v>
      </c>
      <c r="I168" s="1" t="s">
        <v>93</v>
      </c>
      <c r="J168" s="1" t="s">
        <v>85</v>
      </c>
      <c r="L168" s="1">
        <v>1886</v>
      </c>
      <c r="M168" s="1">
        <v>322914</v>
      </c>
      <c r="P168" s="4" t="s">
        <v>179</v>
      </c>
      <c r="Q168" s="4" t="s">
        <v>180</v>
      </c>
      <c r="R168" s="4" t="s">
        <v>175</v>
      </c>
      <c r="T168" s="1">
        <v>1898</v>
      </c>
      <c r="U168" s="1" t="s">
        <v>22</v>
      </c>
      <c r="V168" s="1">
        <v>693</v>
      </c>
      <c r="W168" s="1" t="s">
        <v>158</v>
      </c>
      <c r="X168" s="1">
        <v>1899</v>
      </c>
      <c r="Y168" s="1">
        <v>72863000</v>
      </c>
      <c r="Z168" s="1">
        <v>76630000</v>
      </c>
      <c r="AA168" s="8">
        <f t="shared" si="71"/>
        <v>-4.9158293096698391E-2</v>
      </c>
      <c r="AB168" s="8">
        <v>0.502</v>
      </c>
      <c r="AC168" s="1">
        <v>4505000</v>
      </c>
      <c r="AD168" s="14">
        <f t="shared" si="72"/>
        <v>16.173806881243063</v>
      </c>
    </row>
    <row r="169" spans="1:30">
      <c r="A169" s="1">
        <v>1906</v>
      </c>
      <c r="B169" s="1" t="s">
        <v>32</v>
      </c>
      <c r="C169" s="1">
        <v>1118</v>
      </c>
      <c r="D169" s="1" t="s">
        <v>4</v>
      </c>
      <c r="F169" s="1" t="s">
        <v>100</v>
      </c>
      <c r="G169" s="8">
        <f>AVERAGE(AB150:AB159)</f>
        <v>0.65460000000000007</v>
      </c>
      <c r="H169" s="8">
        <f>AVERAGE(AB198:AB202)</f>
        <v>0.68724381854604921</v>
      </c>
      <c r="I169" s="8">
        <f>AVERAGE(G124:G133)</f>
        <v>0.63335209431742701</v>
      </c>
      <c r="J169" s="8">
        <f>AVERAGE(AC115:AC124)</f>
        <v>0.62429999999999997</v>
      </c>
      <c r="L169" s="1">
        <v>1887</v>
      </c>
      <c r="M169" s="3">
        <f t="shared" ref="M169:M172" si="78">M168*1.02</f>
        <v>329372.28000000003</v>
      </c>
      <c r="P169" s="4" t="s">
        <v>181</v>
      </c>
      <c r="Q169" s="4" t="s">
        <v>180</v>
      </c>
      <c r="R169" s="4" t="s">
        <v>175</v>
      </c>
      <c r="T169" s="1">
        <v>1898</v>
      </c>
      <c r="U169" s="1" t="s">
        <v>23</v>
      </c>
      <c r="V169" s="1">
        <v>693</v>
      </c>
      <c r="W169" s="1" t="s">
        <v>158</v>
      </c>
      <c r="X169" s="1">
        <v>1900</v>
      </c>
      <c r="Y169" s="1">
        <v>64858000</v>
      </c>
      <c r="Z169" s="1">
        <v>68580000</v>
      </c>
      <c r="AA169" s="8">
        <f t="shared" si="71"/>
        <v>-5.4272382618839266E-2</v>
      </c>
      <c r="AB169" s="8">
        <v>0.55900000000000005</v>
      </c>
      <c r="AC169" s="1">
        <v>4642000</v>
      </c>
      <c r="AD169" s="14">
        <f t="shared" si="72"/>
        <v>13.971994829814735</v>
      </c>
    </row>
    <row r="170" spans="1:30">
      <c r="A170" s="1">
        <v>1906</v>
      </c>
      <c r="B170" s="1" t="s">
        <v>33</v>
      </c>
      <c r="C170" s="1">
        <v>1120</v>
      </c>
      <c r="D170" s="1" t="s">
        <v>4</v>
      </c>
      <c r="F170" s="1" t="s">
        <v>101</v>
      </c>
      <c r="G170" s="8">
        <f>AVERAGE(AB160:AB169)</f>
        <v>0.6179</v>
      </c>
      <c r="H170" s="8">
        <f>AVERAGE(AB213)</f>
        <v>0.65500000000000003</v>
      </c>
      <c r="I170" s="8">
        <f>AVERAGE(G134:G143)</f>
        <v>0.76970536730319628</v>
      </c>
      <c r="J170" s="8">
        <f>AVERAGE(AC125:AC134)</f>
        <v>0.61530000000000007</v>
      </c>
      <c r="L170" s="1">
        <v>1888</v>
      </c>
      <c r="M170" s="3">
        <f t="shared" si="78"/>
        <v>335959.72560000006</v>
      </c>
      <c r="P170" s="4" t="s">
        <v>16</v>
      </c>
      <c r="Q170" s="4" t="s">
        <v>170</v>
      </c>
      <c r="R170" s="4" t="s">
        <v>169</v>
      </c>
      <c r="T170" s="1">
        <v>1898</v>
      </c>
      <c r="U170" s="1" t="s">
        <v>24</v>
      </c>
      <c r="V170" s="1">
        <v>700</v>
      </c>
      <c r="W170" s="1" t="s">
        <v>158</v>
      </c>
      <c r="X170" s="1">
        <v>1901</v>
      </c>
      <c r="Y170" s="1">
        <v>65046000</v>
      </c>
      <c r="Z170" s="1">
        <v>69919000</v>
      </c>
      <c r="AA170" s="8">
        <f t="shared" si="71"/>
        <v>-6.9694932707847657E-2</v>
      </c>
      <c r="AB170" s="8">
        <v>0.51400000000000001</v>
      </c>
      <c r="AC170" s="1">
        <v>4778000</v>
      </c>
      <c r="AD170" s="14">
        <f t="shared" si="72"/>
        <v>13.613645876935957</v>
      </c>
    </row>
    <row r="171" spans="1:30">
      <c r="A171" s="1">
        <v>1907</v>
      </c>
      <c r="B171" s="1" t="s">
        <v>22</v>
      </c>
      <c r="C171" s="1">
        <v>1155</v>
      </c>
      <c r="D171" s="1" t="s">
        <v>4</v>
      </c>
      <c r="F171" s="1" t="s">
        <v>102</v>
      </c>
      <c r="G171" s="8">
        <f>AVERAGE(AB170:AB179)</f>
        <v>0.51689999999999992</v>
      </c>
      <c r="H171" s="45" t="s">
        <v>15</v>
      </c>
      <c r="I171" s="8">
        <f>AVERAGE(G144:G148)</f>
        <v>0.80806582147952177</v>
      </c>
      <c r="J171" s="8">
        <f>AVERAGE(AC135:AC144)</f>
        <v>0.53899999999999992</v>
      </c>
      <c r="L171" s="1">
        <v>1889</v>
      </c>
      <c r="M171" s="3">
        <f t="shared" si="78"/>
        <v>342678.92011200008</v>
      </c>
      <c r="P171" s="16" t="s">
        <v>182</v>
      </c>
      <c r="Q171" s="15" t="s">
        <v>183</v>
      </c>
      <c r="R171" s="15" t="s">
        <v>171</v>
      </c>
      <c r="T171" s="1">
        <v>1898</v>
      </c>
      <c r="U171" s="1" t="s">
        <v>25</v>
      </c>
      <c r="V171" s="1">
        <v>706</v>
      </c>
      <c r="W171" s="1" t="s">
        <v>158</v>
      </c>
      <c r="X171" s="1">
        <v>1902</v>
      </c>
      <c r="Y171" s="1">
        <v>65463000</v>
      </c>
      <c r="Z171" s="1">
        <v>85334000</v>
      </c>
      <c r="AA171" s="8">
        <f t="shared" si="71"/>
        <v>-0.23286146201982794</v>
      </c>
      <c r="AB171" s="8">
        <v>0.47399999999999998</v>
      </c>
      <c r="AC171" s="1">
        <v>4886000</v>
      </c>
      <c r="AD171" s="14">
        <f t="shared" si="72"/>
        <v>13.398076135898485</v>
      </c>
    </row>
    <row r="172" spans="1:30">
      <c r="A172" s="1">
        <v>1907</v>
      </c>
      <c r="B172" s="1" t="s">
        <v>23</v>
      </c>
      <c r="C172" s="1">
        <v>1186</v>
      </c>
      <c r="D172" s="1" t="s">
        <v>4</v>
      </c>
      <c r="F172" s="1" t="s">
        <v>103</v>
      </c>
      <c r="G172" s="8">
        <f>AVERAGE(AB180:AB183)</f>
        <v>0.5432499999999999</v>
      </c>
      <c r="H172" s="8">
        <f>AVERAGE(AB233)</f>
        <v>0.56799999999999995</v>
      </c>
      <c r="I172" s="8">
        <f>AVERAGE(G149:G151)</f>
        <v>0.73566211398331316</v>
      </c>
      <c r="J172" s="45" t="s">
        <v>15</v>
      </c>
      <c r="L172" s="1">
        <v>1890</v>
      </c>
      <c r="M172" s="3">
        <f t="shared" si="78"/>
        <v>349532.49851424008</v>
      </c>
      <c r="P172" s="16" t="s">
        <v>184</v>
      </c>
      <c r="Q172" s="15" t="s">
        <v>185</v>
      </c>
      <c r="R172" s="15" t="s">
        <v>186</v>
      </c>
      <c r="T172" s="1">
        <v>1898</v>
      </c>
      <c r="U172" s="1" t="s">
        <v>26</v>
      </c>
      <c r="V172" s="1">
        <v>730</v>
      </c>
      <c r="W172" s="1" t="s">
        <v>158</v>
      </c>
      <c r="X172" s="1">
        <v>1903</v>
      </c>
      <c r="Y172" s="1">
        <v>75455000</v>
      </c>
      <c r="Z172" s="1">
        <v>78473000</v>
      </c>
      <c r="AA172" s="8">
        <f t="shared" si="71"/>
        <v>-3.8459087839129436E-2</v>
      </c>
      <c r="AB172" s="8">
        <v>0.497</v>
      </c>
      <c r="AC172" s="1">
        <v>5018000</v>
      </c>
      <c r="AD172" s="14">
        <f t="shared" si="72"/>
        <v>15.036867277799921</v>
      </c>
    </row>
    <row r="173" spans="1:30">
      <c r="A173" s="1">
        <v>1907</v>
      </c>
      <c r="B173" s="1" t="s">
        <v>24</v>
      </c>
      <c r="C173" s="1">
        <v>1196</v>
      </c>
      <c r="D173" s="1" t="s">
        <v>4</v>
      </c>
      <c r="F173" s="1" t="s">
        <v>104</v>
      </c>
      <c r="G173" s="8">
        <f>AB190</f>
        <v>0.56699999999999995</v>
      </c>
      <c r="H173" s="45" t="s">
        <v>15</v>
      </c>
      <c r="I173" s="8">
        <f>AVERAGE(G152:G157)</f>
        <v>0.70909418808788527</v>
      </c>
      <c r="J173" s="45" t="s">
        <v>15</v>
      </c>
      <c r="L173" s="1">
        <v>1891</v>
      </c>
      <c r="M173" s="3">
        <f t="shared" ref="M173:M181" si="79">((M$182/M$172)^(1/10))*M172</f>
        <v>371069.46026651148</v>
      </c>
      <c r="P173" s="4" t="s">
        <v>187</v>
      </c>
      <c r="Q173" s="4" t="s">
        <v>188</v>
      </c>
      <c r="R173" s="4" t="s">
        <v>171</v>
      </c>
      <c r="T173" s="1">
        <v>1898</v>
      </c>
      <c r="U173" s="1" t="s">
        <v>27</v>
      </c>
      <c r="V173" s="1">
        <v>730</v>
      </c>
      <c r="W173" s="1" t="s">
        <v>158</v>
      </c>
      <c r="X173" s="1">
        <v>1904</v>
      </c>
      <c r="Y173" s="1">
        <v>83074000</v>
      </c>
      <c r="Z173" s="1">
        <v>85781000</v>
      </c>
      <c r="AA173" s="8">
        <f t="shared" si="71"/>
        <v>-3.155710472015949E-2</v>
      </c>
      <c r="AB173" s="8">
        <v>0.48499999999999999</v>
      </c>
      <c r="AC173" s="1">
        <v>5210000</v>
      </c>
      <c r="AD173" s="14">
        <f t="shared" si="72"/>
        <v>15.94510556621881</v>
      </c>
    </row>
    <row r="174" spans="1:30">
      <c r="A174" s="1">
        <v>1907</v>
      </c>
      <c r="B174" s="1" t="s">
        <v>25</v>
      </c>
      <c r="C174" s="1">
        <v>1197</v>
      </c>
      <c r="D174" s="1" t="s">
        <v>4</v>
      </c>
      <c r="F174" s="1" t="s">
        <v>96</v>
      </c>
      <c r="G174" s="8">
        <f>AVERAGE(G169:G173)</f>
        <v>0.57992999999999983</v>
      </c>
      <c r="H174" s="8">
        <f>AVERAGE(H172,H169:H170)</f>
        <v>0.6367479395153498</v>
      </c>
      <c r="I174" s="8">
        <f>AVERAGE(I169:I173)</f>
        <v>0.73117591703426865</v>
      </c>
      <c r="J174" s="8">
        <f>AVERAGE(J169:J171)</f>
        <v>0.59286666666666665</v>
      </c>
      <c r="L174" s="1">
        <v>1892</v>
      </c>
      <c r="M174" s="3">
        <f t="shared" si="79"/>
        <v>393933.45376401528</v>
      </c>
      <c r="P174" s="4" t="s">
        <v>189</v>
      </c>
      <c r="Q174" s="4" t="s">
        <v>190</v>
      </c>
      <c r="R174" s="4" t="s">
        <v>169</v>
      </c>
      <c r="T174" s="1">
        <v>1898</v>
      </c>
      <c r="U174" s="1" t="s">
        <v>28</v>
      </c>
      <c r="V174" s="1">
        <v>755</v>
      </c>
      <c r="W174" s="1" t="s">
        <v>158</v>
      </c>
      <c r="X174" s="1">
        <v>1905</v>
      </c>
      <c r="Y174" s="1">
        <v>90423000</v>
      </c>
      <c r="Z174" s="1">
        <v>141704000</v>
      </c>
      <c r="AA174" s="8">
        <f t="shared" si="71"/>
        <v>-0.36188816123750922</v>
      </c>
      <c r="AB174" s="8">
        <v>0.48599999999999999</v>
      </c>
      <c r="AC174" s="1">
        <v>5449000</v>
      </c>
      <c r="AD174" s="14">
        <f t="shared" si="72"/>
        <v>16.594420994677922</v>
      </c>
    </row>
    <row r="175" spans="1:30">
      <c r="A175" s="1">
        <v>1907</v>
      </c>
      <c r="B175" s="1" t="s">
        <v>26</v>
      </c>
      <c r="C175" s="1">
        <v>1219</v>
      </c>
      <c r="D175" s="1" t="s">
        <v>4</v>
      </c>
      <c r="F175" s="1" t="s">
        <v>191</v>
      </c>
      <c r="J175" s="8"/>
      <c r="L175" s="1">
        <v>1893</v>
      </c>
      <c r="M175" s="3">
        <f t="shared" si="79"/>
        <v>418206.24603002577</v>
      </c>
      <c r="P175" s="4" t="s">
        <v>192</v>
      </c>
      <c r="Q175" s="4" t="s">
        <v>193</v>
      </c>
      <c r="R175" s="4" t="s">
        <v>175</v>
      </c>
      <c r="T175" s="1">
        <v>1898</v>
      </c>
      <c r="U175" s="1" t="s">
        <v>29</v>
      </c>
      <c r="V175" s="1">
        <v>770</v>
      </c>
      <c r="W175" s="1" t="s">
        <v>158</v>
      </c>
      <c r="X175" s="1">
        <v>1906</v>
      </c>
      <c r="Y175" s="1">
        <v>100750000</v>
      </c>
      <c r="Z175" s="1">
        <v>118911000</v>
      </c>
      <c r="AA175" s="8">
        <f t="shared" si="71"/>
        <v>-0.15272767027440692</v>
      </c>
      <c r="AB175" s="8">
        <v>0.53100000000000003</v>
      </c>
      <c r="AC175" s="1">
        <v>5752000</v>
      </c>
      <c r="AD175" s="14">
        <f t="shared" si="72"/>
        <v>17.515646731571628</v>
      </c>
    </row>
    <row r="176" spans="1:30">
      <c r="A176" s="1">
        <v>1907</v>
      </c>
      <c r="B176" s="1" t="s">
        <v>27</v>
      </c>
      <c r="C176" s="1">
        <v>1200</v>
      </c>
      <c r="D176" s="1" t="s">
        <v>4</v>
      </c>
      <c r="F176" s="1" t="s">
        <v>194</v>
      </c>
      <c r="J176" s="8"/>
      <c r="L176" s="1">
        <v>1894</v>
      </c>
      <c r="M176" s="3">
        <f t="shared" si="79"/>
        <v>443974.64228386572</v>
      </c>
      <c r="P176" s="4" t="s">
        <v>195</v>
      </c>
      <c r="Q176" s="4" t="s">
        <v>196</v>
      </c>
      <c r="R176" s="4" t="s">
        <v>186</v>
      </c>
      <c r="T176" s="1">
        <v>1898</v>
      </c>
      <c r="U176" s="1" t="s">
        <v>30</v>
      </c>
      <c r="V176" s="1">
        <v>780</v>
      </c>
      <c r="W176" s="1" t="s">
        <v>158</v>
      </c>
      <c r="X176" s="1">
        <v>1907</v>
      </c>
      <c r="Y176" s="1">
        <v>107327000</v>
      </c>
      <c r="Z176" s="1">
        <v>111408000</v>
      </c>
      <c r="AA176" s="8">
        <f t="shared" si="71"/>
        <v>-3.6631121642969999E-2</v>
      </c>
      <c r="AB176" s="8">
        <v>0.52800000000000002</v>
      </c>
      <c r="AC176" s="1">
        <v>5983000</v>
      </c>
      <c r="AD176" s="14">
        <f t="shared" si="72"/>
        <v>17.938659535350158</v>
      </c>
    </row>
    <row r="177" spans="1:30">
      <c r="A177" s="1">
        <v>1907</v>
      </c>
      <c r="B177" s="1" t="s">
        <v>28</v>
      </c>
      <c r="C177" s="1">
        <v>1167</v>
      </c>
      <c r="D177" s="1" t="s">
        <v>4</v>
      </c>
      <c r="F177" s="1" t="s">
        <v>99</v>
      </c>
      <c r="G177" s="1" t="s">
        <v>84</v>
      </c>
      <c r="H177" s="1" t="s">
        <v>86</v>
      </c>
      <c r="I177" s="1" t="s">
        <v>93</v>
      </c>
      <c r="J177" s="8" t="s">
        <v>85</v>
      </c>
      <c r="L177" s="1">
        <v>1895</v>
      </c>
      <c r="M177" s="3">
        <f t="shared" si="79"/>
        <v>471330.79637680604</v>
      </c>
      <c r="P177" s="4" t="s">
        <v>197</v>
      </c>
      <c r="Q177" s="4" t="s">
        <v>198</v>
      </c>
      <c r="R177" s="4" t="s">
        <v>186</v>
      </c>
      <c r="T177" s="1">
        <v>1898</v>
      </c>
      <c r="U177" s="1" t="s">
        <v>31</v>
      </c>
      <c r="V177" s="1">
        <v>765</v>
      </c>
      <c r="W177" s="1" t="s">
        <v>158</v>
      </c>
      <c r="X177" s="1">
        <v>1908</v>
      </c>
      <c r="Y177" s="1">
        <v>111862000</v>
      </c>
      <c r="Z177" s="1">
        <v>111048000</v>
      </c>
      <c r="AA177" s="8">
        <f t="shared" si="71"/>
        <v>7.3301635328866244E-3</v>
      </c>
      <c r="AB177" s="8">
        <v>0.53700000000000003</v>
      </c>
      <c r="AC177" s="1">
        <v>6275000</v>
      </c>
      <c r="AD177" s="14">
        <f t="shared" si="72"/>
        <v>17.826613545816734</v>
      </c>
    </row>
    <row r="178" spans="1:30">
      <c r="A178" s="1">
        <v>1907</v>
      </c>
      <c r="B178" s="1" t="s">
        <v>29</v>
      </c>
      <c r="C178" s="1">
        <v>1165</v>
      </c>
      <c r="D178" s="1" t="s">
        <v>4</v>
      </c>
      <c r="F178" s="1" t="s">
        <v>100</v>
      </c>
      <c r="G178" s="8">
        <f>AVERAGE(AA150:AA159)</f>
        <v>-0.33301248182165655</v>
      </c>
      <c r="H178" s="8">
        <f>AVERAGE(AA194:AA203)</f>
        <v>-0.10242092402508036</v>
      </c>
      <c r="I178" s="8">
        <f>AVERAGE(M71:M77)</f>
        <v>2.5896430491745726E-2</v>
      </c>
      <c r="J178" s="8">
        <f>AVERAGE(AB116:AB121)</f>
        <v>-8.475820772337643E-2</v>
      </c>
      <c r="L178" s="1">
        <v>1896</v>
      </c>
      <c r="M178" s="3">
        <f t="shared" si="79"/>
        <v>500372.54035593226</v>
      </c>
      <c r="P178" s="4" t="s">
        <v>95</v>
      </c>
      <c r="Q178" s="4" t="s">
        <v>199</v>
      </c>
      <c r="R178" s="4" t="s">
        <v>169</v>
      </c>
      <c r="T178" s="1">
        <v>1898</v>
      </c>
      <c r="U178" s="1" t="s">
        <v>32</v>
      </c>
      <c r="V178" s="1">
        <v>765</v>
      </c>
      <c r="W178" s="1" t="s">
        <v>158</v>
      </c>
      <c r="X178" s="1">
        <v>1909</v>
      </c>
      <c r="Y178" s="1">
        <v>121073000</v>
      </c>
      <c r="Z178" s="1">
        <v>154995000</v>
      </c>
      <c r="AA178" s="8">
        <f t="shared" si="71"/>
        <v>-0.21885867286041483</v>
      </c>
      <c r="AB178" s="8">
        <v>0.54500000000000004</v>
      </c>
      <c r="AC178" s="1">
        <v>6536000</v>
      </c>
      <c r="AD178" s="14">
        <f t="shared" si="72"/>
        <v>18.524020807833537</v>
      </c>
    </row>
    <row r="179" spans="1:30">
      <c r="A179" s="1">
        <v>1907</v>
      </c>
      <c r="B179" s="1" t="s">
        <v>30</v>
      </c>
      <c r="C179" s="1">
        <v>1165</v>
      </c>
      <c r="D179" s="1" t="s">
        <v>4</v>
      </c>
      <c r="F179" s="1" t="s">
        <v>101</v>
      </c>
      <c r="G179" s="8">
        <f>AVERAGE(AA160:AA169)</f>
        <v>-0.22139953469941348</v>
      </c>
      <c r="H179" s="8">
        <f>AVERAGE(AA204:AA213)</f>
        <v>-0.20351666241262625</v>
      </c>
      <c r="I179" s="8">
        <f>AVERAGE(M78:M87)</f>
        <v>-6.7247213887149992E-2</v>
      </c>
      <c r="J179" s="8">
        <f>AVERAGE(AB127:AB133)</f>
        <v>8.5732674966420674E-2</v>
      </c>
      <c r="L179" s="1">
        <v>1897</v>
      </c>
      <c r="M179" s="3">
        <f t="shared" si="79"/>
        <v>531203.73433457618</v>
      </c>
      <c r="P179" s="4" t="s">
        <v>200</v>
      </c>
      <c r="Q179" s="4" t="s">
        <v>201</v>
      </c>
      <c r="R179" s="4" t="s">
        <v>186</v>
      </c>
      <c r="T179" s="1">
        <v>1898</v>
      </c>
      <c r="U179" s="1" t="s">
        <v>33</v>
      </c>
      <c r="V179" s="1">
        <v>718</v>
      </c>
      <c r="W179" s="1" t="s">
        <v>158</v>
      </c>
      <c r="X179" s="1">
        <v>1910</v>
      </c>
      <c r="Y179" s="1">
        <v>133094000</v>
      </c>
      <c r="Z179" s="1">
        <v>180947000</v>
      </c>
      <c r="AA179" s="8">
        <f t="shared" si="71"/>
        <v>-0.26445865363891086</v>
      </c>
      <c r="AB179" s="8">
        <v>0.57199999999999995</v>
      </c>
      <c r="AC179" s="1">
        <v>6316557</v>
      </c>
      <c r="AD179" s="14">
        <f t="shared" si="72"/>
        <v>21.070656055189559</v>
      </c>
    </row>
    <row r="180" spans="1:30">
      <c r="A180" s="1">
        <v>1907</v>
      </c>
      <c r="B180" s="1" t="s">
        <v>31</v>
      </c>
      <c r="C180" s="1">
        <v>1195</v>
      </c>
      <c r="D180" s="1" t="s">
        <v>4</v>
      </c>
      <c r="F180" s="1" t="s">
        <v>102</v>
      </c>
      <c r="G180" s="8">
        <f>AVERAGE(AA170:AA179)</f>
        <v>-0.13998067034082898</v>
      </c>
      <c r="H180" s="8">
        <f>AVERAGE(AA214:AA223)</f>
        <v>-2.1190037528206196E-2</v>
      </c>
      <c r="I180" s="8">
        <f>AVERAGE(M88:M89,M91:M95)</f>
        <v>-3.6348853705632234E-2</v>
      </c>
      <c r="J180" s="8">
        <f>AVERAGE(AB140:AB142)</f>
        <v>0.20623727955052573</v>
      </c>
      <c r="L180" s="1">
        <v>1898</v>
      </c>
      <c r="M180" s="3">
        <f t="shared" si="79"/>
        <v>563934.63792053098</v>
      </c>
      <c r="P180" s="4" t="s">
        <v>202</v>
      </c>
      <c r="Q180" s="4" t="s">
        <v>203</v>
      </c>
      <c r="R180" s="4" t="s">
        <v>186</v>
      </c>
      <c r="T180" s="1">
        <v>1899</v>
      </c>
      <c r="U180" s="1" t="s">
        <v>22</v>
      </c>
      <c r="V180" s="1">
        <v>658</v>
      </c>
      <c r="W180" s="1" t="s">
        <v>158</v>
      </c>
      <c r="X180" s="1">
        <v>1911</v>
      </c>
      <c r="Y180" s="1">
        <v>136633000</v>
      </c>
      <c r="Z180" s="1">
        <v>183291000</v>
      </c>
      <c r="AA180" s="8">
        <f t="shared" si="71"/>
        <v>-0.25455696133470818</v>
      </c>
      <c r="AB180" s="8">
        <v>0.56899999999999995</v>
      </c>
      <c r="AC180" s="1">
        <v>6637043</v>
      </c>
      <c r="AD180" s="14">
        <f t="shared" si="72"/>
        <v>20.586426816882156</v>
      </c>
    </row>
    <row r="181" spans="1:30">
      <c r="A181" s="1">
        <v>1907</v>
      </c>
      <c r="B181" s="1" t="s">
        <v>32</v>
      </c>
      <c r="C181" s="1">
        <v>1240</v>
      </c>
      <c r="D181" s="1" t="s">
        <v>4</v>
      </c>
      <c r="F181" s="1" t="s">
        <v>103</v>
      </c>
      <c r="G181" s="8">
        <f>AVERAGE(AA180:AA185)</f>
        <v>-0.27612801968215517</v>
      </c>
      <c r="H181" s="8">
        <f>AVERAGE(AA224:AA233)</f>
        <v>-0.28688396871393618</v>
      </c>
      <c r="I181" s="8">
        <f>AVERAGE(M96:M105)</f>
        <v>-0.34063831596844518</v>
      </c>
      <c r="J181" s="45" t="s">
        <v>15</v>
      </c>
      <c r="L181" s="1">
        <v>1899</v>
      </c>
      <c r="M181" s="3">
        <f t="shared" si="79"/>
        <v>598682.30453036609</v>
      </c>
      <c r="P181" s="4" t="s">
        <v>204</v>
      </c>
      <c r="Q181" s="4" t="s">
        <v>205</v>
      </c>
      <c r="R181" s="4" t="s">
        <v>175</v>
      </c>
      <c r="T181" s="1">
        <v>1899</v>
      </c>
      <c r="U181" s="1" t="s">
        <v>23</v>
      </c>
      <c r="V181" s="1">
        <v>657</v>
      </c>
      <c r="W181" s="1" t="s">
        <v>158</v>
      </c>
      <c r="X181" s="1">
        <v>1912</v>
      </c>
      <c r="Y181" s="1">
        <v>148001000</v>
      </c>
      <c r="Z181" s="1">
        <v>211108000</v>
      </c>
      <c r="AA181" s="8">
        <f t="shared" si="71"/>
        <v>-0.2989323000549482</v>
      </c>
      <c r="AB181" s="8">
        <v>0.56100000000000005</v>
      </c>
      <c r="AC181" s="1">
        <v>6870615</v>
      </c>
      <c r="AD181" s="14">
        <f t="shared" si="72"/>
        <v>21.541157523744236</v>
      </c>
    </row>
    <row r="182" spans="1:30">
      <c r="A182" s="1">
        <v>1907</v>
      </c>
      <c r="B182" s="1" t="s">
        <v>33</v>
      </c>
      <c r="C182" s="1">
        <v>1260</v>
      </c>
      <c r="D182" s="1" t="s">
        <v>4</v>
      </c>
      <c r="F182" s="1" t="s">
        <v>104</v>
      </c>
      <c r="G182" s="8">
        <f>AVERAGE(AA186:AA190)</f>
        <v>-0.20956044961680714</v>
      </c>
      <c r="H182" s="8">
        <f>AVERAGE(AA234:AA243)</f>
        <v>-0.136550352866117</v>
      </c>
      <c r="I182" s="8">
        <f>AVERAGE(M106:M111)</f>
        <v>-4.3767318992812616E-2</v>
      </c>
      <c r="J182" s="45" t="s">
        <v>15</v>
      </c>
      <c r="L182" s="1">
        <v>1900</v>
      </c>
      <c r="M182" s="1">
        <v>635571</v>
      </c>
      <c r="N182" s="1" t="s">
        <v>4</v>
      </c>
      <c r="P182" s="1" t="s">
        <v>206</v>
      </c>
      <c r="Q182" s="4" t="s">
        <v>207</v>
      </c>
      <c r="R182" s="4" t="s">
        <v>186</v>
      </c>
      <c r="T182" s="1">
        <v>1899</v>
      </c>
      <c r="U182" s="1" t="s">
        <v>24</v>
      </c>
      <c r="V182" s="1">
        <v>647</v>
      </c>
      <c r="W182" s="1" t="s">
        <v>158</v>
      </c>
      <c r="X182" s="1">
        <v>1913</v>
      </c>
      <c r="Y182" s="1">
        <v>153691000</v>
      </c>
      <c r="Z182" s="1">
        <v>177513000</v>
      </c>
      <c r="AA182" s="8">
        <f t="shared" si="71"/>
        <v>-0.13419862207274957</v>
      </c>
      <c r="AB182" s="8">
        <v>0.56999999999999995</v>
      </c>
      <c r="AC182" s="1">
        <v>7219103</v>
      </c>
      <c r="AD182" s="14">
        <f t="shared" si="72"/>
        <v>21.289487073394021</v>
      </c>
    </row>
    <row r="183" spans="1:30">
      <c r="A183" s="1">
        <v>1908</v>
      </c>
      <c r="B183" s="1" t="s">
        <v>22</v>
      </c>
      <c r="C183" s="1">
        <v>1320</v>
      </c>
      <c r="D183" s="1" t="s">
        <v>4</v>
      </c>
      <c r="F183" s="1" t="s">
        <v>96</v>
      </c>
      <c r="G183" s="8">
        <f>AVERAGE(G178:G182)</f>
        <v>-0.23601623123217225</v>
      </c>
      <c r="H183" s="8">
        <f>AVERAGE(AA194:AA243)</f>
        <v>-0.1501123891091932</v>
      </c>
      <c r="I183" s="8">
        <f>AVERAGE(I178:I182)</f>
        <v>-9.2421054412458861E-2</v>
      </c>
      <c r="J183" s="8">
        <f>AVERAGE(J178:J180)</f>
        <v>6.9070582264523325E-2</v>
      </c>
      <c r="L183" s="1">
        <v>1914</v>
      </c>
      <c r="M183" s="1">
        <v>656062</v>
      </c>
      <c r="N183" s="1" t="s">
        <v>4</v>
      </c>
      <c r="P183" s="4" t="s">
        <v>208</v>
      </c>
      <c r="Q183" s="4" t="s">
        <v>209</v>
      </c>
      <c r="R183" s="4" t="s">
        <v>169</v>
      </c>
      <c r="T183" s="1">
        <v>1899</v>
      </c>
      <c r="U183" s="1" t="s">
        <v>25</v>
      </c>
      <c r="V183" s="1">
        <v>790</v>
      </c>
      <c r="W183" s="1" t="s">
        <v>158</v>
      </c>
      <c r="X183" s="1">
        <v>1914</v>
      </c>
      <c r="Y183" s="1">
        <v>110029000</v>
      </c>
      <c r="Z183" s="1">
        <v>194371000</v>
      </c>
      <c r="AA183" s="8">
        <f t="shared" si="71"/>
        <v>-0.43392275596668228</v>
      </c>
      <c r="AB183" s="8">
        <v>0.47299999999999998</v>
      </c>
      <c r="AC183" s="1">
        <v>7512139</v>
      </c>
      <c r="AD183" s="14">
        <f t="shared" si="72"/>
        <v>14.646826955678003</v>
      </c>
    </row>
    <row r="184" spans="1:30">
      <c r="A184" s="1">
        <v>1908</v>
      </c>
      <c r="B184" s="1" t="s">
        <v>23</v>
      </c>
      <c r="C184" s="1">
        <v>1360</v>
      </c>
      <c r="D184" s="1" t="s">
        <v>4</v>
      </c>
      <c r="F184" s="1" t="s">
        <v>210</v>
      </c>
      <c r="L184" s="1">
        <v>1920</v>
      </c>
      <c r="M184" s="1">
        <v>699000</v>
      </c>
      <c r="N184" s="1" t="s">
        <v>5</v>
      </c>
      <c r="P184" s="4" t="s">
        <v>211</v>
      </c>
      <c r="Q184" s="4" t="s">
        <v>212</v>
      </c>
      <c r="R184" s="4" t="s">
        <v>175</v>
      </c>
      <c r="T184" s="1">
        <v>1899</v>
      </c>
      <c r="U184" s="1" t="s">
        <v>26</v>
      </c>
      <c r="V184" s="1">
        <v>795</v>
      </c>
      <c r="W184" s="1" t="s">
        <v>213</v>
      </c>
      <c r="X184" s="1">
        <v>1916</v>
      </c>
      <c r="Y184" s="1">
        <v>112200000</v>
      </c>
      <c r="Z184" s="1">
        <v>164800000</v>
      </c>
      <c r="AA184" s="8">
        <f t="shared" si="71"/>
        <v>-0.31917475728155342</v>
      </c>
      <c r="AC184" s="1">
        <v>7704933</v>
      </c>
      <c r="AD184" s="14">
        <f t="shared" si="72"/>
        <v>14.562099371921859</v>
      </c>
    </row>
    <row r="185" spans="1:30">
      <c r="A185" s="1">
        <v>1908</v>
      </c>
      <c r="B185" s="1" t="s">
        <v>24</v>
      </c>
      <c r="C185" s="1">
        <v>1360</v>
      </c>
      <c r="D185" s="1" t="s">
        <v>4</v>
      </c>
      <c r="L185" s="1">
        <v>1925</v>
      </c>
      <c r="M185" s="1">
        <v>785000</v>
      </c>
      <c r="N185" s="1" t="s">
        <v>5</v>
      </c>
      <c r="P185" s="4" t="s">
        <v>214</v>
      </c>
      <c r="Q185" s="4" t="s">
        <v>215</v>
      </c>
      <c r="R185" s="4" t="s">
        <v>175</v>
      </c>
      <c r="T185" s="1">
        <v>1899</v>
      </c>
      <c r="U185" s="1" t="s">
        <v>27</v>
      </c>
      <c r="V185" s="1">
        <v>795</v>
      </c>
      <c r="W185" s="1" t="s">
        <v>213</v>
      </c>
      <c r="X185" s="1">
        <v>1918</v>
      </c>
      <c r="Y185" s="1">
        <v>145200000</v>
      </c>
      <c r="Z185" s="1">
        <v>185200000</v>
      </c>
      <c r="AA185" s="8">
        <f t="shared" si="71"/>
        <v>-0.21598272138228947</v>
      </c>
      <c r="AC185" s="1">
        <v>7905584</v>
      </c>
      <c r="AD185" s="14">
        <f t="shared" si="72"/>
        <v>18.366764555281431</v>
      </c>
    </row>
    <row r="186" spans="1:30">
      <c r="A186" s="1">
        <v>1908</v>
      </c>
      <c r="B186" s="1" t="s">
        <v>25</v>
      </c>
      <c r="C186" s="1">
        <v>1380</v>
      </c>
      <c r="D186" s="1" t="s">
        <v>4</v>
      </c>
      <c r="F186" s="1" t="s">
        <v>81</v>
      </c>
      <c r="G186" s="1" t="s">
        <v>82</v>
      </c>
      <c r="H186" s="1" t="s">
        <v>216</v>
      </c>
      <c r="L186" s="1">
        <v>1926</v>
      </c>
      <c r="M186" s="1">
        <v>828969</v>
      </c>
      <c r="N186" s="1" t="s">
        <v>6</v>
      </c>
      <c r="P186" s="15" t="s">
        <v>89</v>
      </c>
      <c r="Q186" s="17" t="s">
        <v>217</v>
      </c>
      <c r="R186" s="15" t="s">
        <v>169</v>
      </c>
      <c r="T186" s="1">
        <v>1899</v>
      </c>
      <c r="U186" s="1" t="s">
        <v>28</v>
      </c>
      <c r="V186" s="1">
        <v>715</v>
      </c>
      <c r="W186" s="1" t="s">
        <v>213</v>
      </c>
      <c r="X186" s="1">
        <v>1922</v>
      </c>
      <c r="Y186" s="1">
        <v>203800000</v>
      </c>
      <c r="Z186" s="1">
        <v>270700000</v>
      </c>
      <c r="AA186" s="8">
        <f t="shared" si="71"/>
        <v>-0.2471370520871814</v>
      </c>
      <c r="AC186" s="1">
        <v>8516776</v>
      </c>
      <c r="AD186" s="14">
        <f t="shared" si="72"/>
        <v>23.92924270874331</v>
      </c>
    </row>
    <row r="187" spans="1:30">
      <c r="A187" s="1">
        <v>1908</v>
      </c>
      <c r="B187" s="1" t="s">
        <v>26</v>
      </c>
      <c r="C187" s="1">
        <v>1435</v>
      </c>
      <c r="D187" s="1" t="s">
        <v>4</v>
      </c>
      <c r="F187" s="1" t="s">
        <v>1</v>
      </c>
      <c r="G187" s="1" t="s">
        <v>83</v>
      </c>
      <c r="L187" s="1">
        <v>1929</v>
      </c>
      <c r="M187" s="1">
        <v>843905</v>
      </c>
      <c r="N187" s="1" t="s">
        <v>7</v>
      </c>
      <c r="P187" s="4" t="s">
        <v>90</v>
      </c>
      <c r="Q187" s="4" t="s">
        <v>218</v>
      </c>
      <c r="R187" s="15" t="s">
        <v>169</v>
      </c>
      <c r="T187" s="1">
        <v>1899</v>
      </c>
      <c r="U187" s="1" t="s">
        <v>29</v>
      </c>
      <c r="V187" s="1">
        <v>697</v>
      </c>
      <c r="W187" s="1" t="s">
        <v>213</v>
      </c>
      <c r="X187" s="1">
        <v>1924</v>
      </c>
      <c r="Y187" s="1">
        <v>250400000</v>
      </c>
      <c r="Z187" s="1">
        <v>295700000</v>
      </c>
      <c r="AA187" s="8">
        <f t="shared" si="71"/>
        <v>-0.15319580656070342</v>
      </c>
      <c r="AC187" s="1">
        <v>9095392</v>
      </c>
      <c r="AD187" s="14">
        <f t="shared" si="72"/>
        <v>27.530424197219865</v>
      </c>
    </row>
    <row r="188" spans="1:30">
      <c r="A188" s="1">
        <v>1908</v>
      </c>
      <c r="B188" s="1" t="s">
        <v>27</v>
      </c>
      <c r="C188" s="1">
        <v>1445</v>
      </c>
      <c r="D188" s="1" t="s">
        <v>4</v>
      </c>
      <c r="F188" s="1">
        <v>1900</v>
      </c>
      <c r="G188" s="1">
        <v>2556</v>
      </c>
      <c r="L188" s="1">
        <v>1930</v>
      </c>
      <c r="M188" s="1">
        <v>851554</v>
      </c>
      <c r="N188" s="1" t="s">
        <v>8</v>
      </c>
      <c r="P188" s="4" t="s">
        <v>219</v>
      </c>
      <c r="Q188" s="4" t="s">
        <v>220</v>
      </c>
      <c r="R188" s="15" t="s">
        <v>169</v>
      </c>
      <c r="T188" s="1">
        <v>1899</v>
      </c>
      <c r="U188" s="1" t="s">
        <v>30</v>
      </c>
      <c r="V188" s="1">
        <v>697</v>
      </c>
      <c r="W188" s="1" t="s">
        <v>213</v>
      </c>
      <c r="X188" s="1">
        <v>1926</v>
      </c>
      <c r="Y188" s="1">
        <v>281700000</v>
      </c>
      <c r="Z188" s="1">
        <v>328600000</v>
      </c>
      <c r="AA188" s="8">
        <f t="shared" si="71"/>
        <v>-0.14272671941570303</v>
      </c>
      <c r="AC188" s="1">
        <v>9606853</v>
      </c>
      <c r="AD188" s="14">
        <f t="shared" si="72"/>
        <v>29.322817784346238</v>
      </c>
    </row>
    <row r="189" spans="1:30">
      <c r="A189" s="1">
        <v>1908</v>
      </c>
      <c r="B189" s="1" t="s">
        <v>28</v>
      </c>
      <c r="C189" s="1">
        <v>1398</v>
      </c>
      <c r="D189" s="1" t="s">
        <v>4</v>
      </c>
      <c r="F189" s="1">
        <v>1901</v>
      </c>
      <c r="G189" s="3">
        <v>3022.8</v>
      </c>
      <c r="H189" s="2">
        <f t="shared" ref="H189:H234" si="80">ABS((G189-G188)/G188)</f>
        <v>0.18262910798122073</v>
      </c>
      <c r="I189" s="3"/>
      <c r="L189" s="1">
        <v>1931</v>
      </c>
      <c r="M189" s="1">
        <v>857337</v>
      </c>
      <c r="N189" s="1" t="s">
        <v>8</v>
      </c>
      <c r="P189" s="17" t="s">
        <v>221</v>
      </c>
      <c r="Q189" s="15" t="s">
        <v>222</v>
      </c>
      <c r="R189" s="15" t="s">
        <v>175</v>
      </c>
      <c r="T189" s="1">
        <v>1899</v>
      </c>
      <c r="U189" s="1" t="s">
        <v>31</v>
      </c>
      <c r="V189" s="1">
        <v>702</v>
      </c>
      <c r="W189" s="1" t="s">
        <v>213</v>
      </c>
      <c r="X189" s="1">
        <v>1928</v>
      </c>
      <c r="Y189" s="1">
        <v>319300000</v>
      </c>
      <c r="Z189" s="1">
        <v>388800000</v>
      </c>
      <c r="AA189" s="8">
        <f t="shared" si="71"/>
        <v>-0.17875514403292181</v>
      </c>
      <c r="AC189" s="1">
        <v>10129262</v>
      </c>
      <c r="AD189" s="14">
        <f t="shared" si="72"/>
        <v>31.522533428397843</v>
      </c>
    </row>
    <row r="190" spans="1:30">
      <c r="A190" s="1">
        <v>1908</v>
      </c>
      <c r="B190" s="1" t="s">
        <v>29</v>
      </c>
      <c r="C190" s="1">
        <v>1398</v>
      </c>
      <c r="D190" s="1" t="s">
        <v>4</v>
      </c>
      <c r="F190" s="1">
        <v>1902</v>
      </c>
      <c r="G190" s="3">
        <v>2427</v>
      </c>
      <c r="H190" s="2">
        <f t="shared" si="80"/>
        <v>0.19710202461294168</v>
      </c>
      <c r="I190" s="3"/>
      <c r="L190" s="1">
        <v>1932</v>
      </c>
      <c r="M190" s="1">
        <v>870197</v>
      </c>
      <c r="N190" s="1" t="s">
        <v>8</v>
      </c>
      <c r="P190" s="16" t="s">
        <v>223</v>
      </c>
      <c r="Q190" s="15" t="s">
        <v>224</v>
      </c>
      <c r="R190" s="15" t="s">
        <v>175</v>
      </c>
      <c r="T190" s="1">
        <v>1899</v>
      </c>
      <c r="U190" s="1" t="s">
        <v>32</v>
      </c>
      <c r="V190" s="1">
        <v>765</v>
      </c>
      <c r="W190" s="1" t="s">
        <v>213</v>
      </c>
      <c r="X190" s="1">
        <v>1930</v>
      </c>
      <c r="Y190" s="1">
        <v>324200000</v>
      </c>
      <c r="Z190" s="1">
        <v>481000000</v>
      </c>
      <c r="AA190" s="8">
        <f t="shared" si="71"/>
        <v>-0.32598752598752601</v>
      </c>
      <c r="AB190" s="8">
        <v>0.56699999999999995</v>
      </c>
      <c r="AC190" s="1">
        <v>10387895</v>
      </c>
      <c r="AD190" s="14">
        <f t="shared" si="72"/>
        <v>31.209402867472189</v>
      </c>
    </row>
    <row r="191" spans="1:30">
      <c r="A191" s="1">
        <v>1908</v>
      </c>
      <c r="B191" s="1" t="s">
        <v>30</v>
      </c>
      <c r="C191" s="1">
        <v>1485</v>
      </c>
      <c r="D191" s="1" t="s">
        <v>4</v>
      </c>
      <c r="F191" s="1">
        <v>1903</v>
      </c>
      <c r="G191" s="3">
        <v>3506.2</v>
      </c>
      <c r="H191" s="2">
        <f t="shared" si="80"/>
        <v>0.44466419447878031</v>
      </c>
      <c r="I191" s="3"/>
      <c r="L191" s="1">
        <v>1933</v>
      </c>
      <c r="M191" s="1">
        <v>872250</v>
      </c>
      <c r="N191" s="1" t="s">
        <v>8</v>
      </c>
      <c r="P191" s="15" t="s">
        <v>225</v>
      </c>
      <c r="Q191" s="16" t="s">
        <v>226</v>
      </c>
      <c r="R191" s="15" t="s">
        <v>175</v>
      </c>
      <c r="T191" s="1">
        <v>1899</v>
      </c>
      <c r="U191" s="1" t="s">
        <v>33</v>
      </c>
      <c r="V191" s="1">
        <v>815</v>
      </c>
    </row>
    <row r="192" spans="1:30">
      <c r="A192" s="1">
        <v>1908</v>
      </c>
      <c r="B192" s="1" t="s">
        <v>31</v>
      </c>
      <c r="C192" s="1">
        <v>1565</v>
      </c>
      <c r="D192" s="1" t="s">
        <v>4</v>
      </c>
      <c r="F192" s="1">
        <v>1904</v>
      </c>
      <c r="G192" s="3">
        <v>3565.7</v>
      </c>
      <c r="H192" s="2">
        <f t="shared" si="80"/>
        <v>1.6969938965261538E-2</v>
      </c>
      <c r="I192" s="3"/>
      <c r="L192" s="1">
        <v>1934</v>
      </c>
      <c r="M192" s="1">
        <v>901773</v>
      </c>
      <c r="N192" s="1" t="s">
        <v>8</v>
      </c>
      <c r="P192" s="15" t="s">
        <v>227</v>
      </c>
      <c r="Q192" s="16" t="s">
        <v>226</v>
      </c>
      <c r="R192" s="15" t="s">
        <v>175</v>
      </c>
      <c r="Z192" s="1" t="s">
        <v>86</v>
      </c>
    </row>
    <row r="193" spans="1:29">
      <c r="A193" s="1">
        <v>1908</v>
      </c>
      <c r="B193" s="1" t="s">
        <v>32</v>
      </c>
      <c r="C193" s="1">
        <v>1635</v>
      </c>
      <c r="D193" s="1" t="s">
        <v>4</v>
      </c>
      <c r="F193" s="1">
        <v>1905</v>
      </c>
      <c r="G193" s="1">
        <v>4678</v>
      </c>
      <c r="H193" s="2">
        <f t="shared" si="80"/>
        <v>0.31194435875143739</v>
      </c>
      <c r="L193" s="1">
        <v>1935</v>
      </c>
      <c r="M193" s="1">
        <v>926850</v>
      </c>
      <c r="N193" s="1" t="s">
        <v>8</v>
      </c>
      <c r="P193" s="4"/>
      <c r="Q193" s="4"/>
      <c r="R193" s="4"/>
      <c r="X193" s="1" t="s">
        <v>1</v>
      </c>
      <c r="Y193" s="1" t="s">
        <v>153</v>
      </c>
      <c r="Z193" s="1" t="s">
        <v>154</v>
      </c>
      <c r="AA193" s="1" t="s">
        <v>155</v>
      </c>
      <c r="AB193" s="1" t="s">
        <v>156</v>
      </c>
      <c r="AC193" s="1" t="s">
        <v>157</v>
      </c>
    </row>
    <row r="194" spans="1:29">
      <c r="A194" s="1">
        <v>1908</v>
      </c>
      <c r="B194" s="1" t="s">
        <v>33</v>
      </c>
      <c r="C194" s="1">
        <v>1660</v>
      </c>
      <c r="D194" s="1" t="s">
        <v>4</v>
      </c>
      <c r="F194" s="1">
        <v>1906</v>
      </c>
      <c r="G194" s="1">
        <v>6324</v>
      </c>
      <c r="H194" s="2">
        <f t="shared" si="80"/>
        <v>0.35185976913210776</v>
      </c>
      <c r="L194" s="1">
        <v>1936</v>
      </c>
      <c r="M194" s="1">
        <v>931779</v>
      </c>
      <c r="N194" s="1" t="s">
        <v>8</v>
      </c>
      <c r="P194" s="1" t="s">
        <v>228</v>
      </c>
      <c r="Q194" s="1" t="s">
        <v>0</v>
      </c>
      <c r="R194" s="1" t="s">
        <v>229</v>
      </c>
      <c r="W194" s="1" t="s">
        <v>230</v>
      </c>
      <c r="X194" s="1">
        <v>1881</v>
      </c>
      <c r="Y194" s="1">
        <v>128364</v>
      </c>
      <c r="Z194" s="1">
        <v>138583</v>
      </c>
      <c r="AA194" s="8">
        <f t="shared" ref="AA194:AA243" si="81">(Y194/Z194)-1</f>
        <v>-7.3739203221174332E-2</v>
      </c>
    </row>
    <row r="195" spans="1:29">
      <c r="A195" s="1">
        <v>1909</v>
      </c>
      <c r="B195" s="1" t="s">
        <v>22</v>
      </c>
      <c r="C195" s="1">
        <v>1740</v>
      </c>
      <c r="D195" s="1" t="s">
        <v>4</v>
      </c>
      <c r="F195" s="1">
        <v>1907</v>
      </c>
      <c r="G195" s="1">
        <v>7512</v>
      </c>
      <c r="H195" s="2">
        <f t="shared" si="80"/>
        <v>0.18785578747628084</v>
      </c>
      <c r="L195" s="1">
        <v>1937</v>
      </c>
      <c r="M195" s="1">
        <v>936126</v>
      </c>
      <c r="N195" s="1" t="s">
        <v>8</v>
      </c>
      <c r="P195" s="1">
        <v>280000</v>
      </c>
      <c r="Q195" s="46">
        <v>635571</v>
      </c>
      <c r="R195" s="1">
        <f t="shared" ref="R195:R197" si="82">P195/Q195</f>
        <v>0.44054873491710606</v>
      </c>
      <c r="S195" s="4" t="s">
        <v>93</v>
      </c>
      <c r="W195" s="1" t="s">
        <v>230</v>
      </c>
      <c r="X195" s="1">
        <v>1882</v>
      </c>
      <c r="Y195" s="1">
        <v>130456</v>
      </c>
      <c r="Z195" s="1">
        <v>139471</v>
      </c>
      <c r="AA195" s="8">
        <f t="shared" si="81"/>
        <v>-6.4637093015752378E-2</v>
      </c>
    </row>
    <row r="196" spans="1:29">
      <c r="A196" s="1">
        <v>1909</v>
      </c>
      <c r="B196" s="1" t="s">
        <v>23</v>
      </c>
      <c r="C196" s="1">
        <v>1813</v>
      </c>
      <c r="D196" s="1" t="s">
        <v>4</v>
      </c>
      <c r="F196" s="1">
        <v>1908</v>
      </c>
      <c r="G196" s="1">
        <v>4072</v>
      </c>
      <c r="H196" s="2">
        <f t="shared" si="80"/>
        <v>0.45793397231096911</v>
      </c>
      <c r="L196" s="1">
        <v>1938</v>
      </c>
      <c r="M196" s="1">
        <v>954848</v>
      </c>
      <c r="N196" s="1" t="s">
        <v>8</v>
      </c>
      <c r="P196" s="1">
        <v>350000000</v>
      </c>
      <c r="Q196" s="12">
        <v>4505000</v>
      </c>
      <c r="R196" s="1">
        <f t="shared" si="82"/>
        <v>77.691453940066594</v>
      </c>
      <c r="S196" s="1" t="s">
        <v>84</v>
      </c>
      <c r="W196" s="1" t="s">
        <v>230</v>
      </c>
      <c r="X196" s="1">
        <v>1883</v>
      </c>
      <c r="Y196" s="1">
        <v>129698</v>
      </c>
      <c r="Z196" s="1">
        <v>152958</v>
      </c>
      <c r="AA196" s="8">
        <f t="shared" si="81"/>
        <v>-0.15206788791694448</v>
      </c>
    </row>
    <row r="197" spans="1:29">
      <c r="A197" s="1">
        <v>1909</v>
      </c>
      <c r="B197" s="1" t="s">
        <v>24</v>
      </c>
      <c r="C197" s="1">
        <v>1661</v>
      </c>
      <c r="D197" s="1" t="s">
        <v>4</v>
      </c>
      <c r="F197" s="1">
        <v>1909</v>
      </c>
      <c r="G197" s="1">
        <v>3788</v>
      </c>
      <c r="H197" s="2">
        <f t="shared" si="80"/>
        <v>6.9744597249508836E-2</v>
      </c>
      <c r="L197" s="1">
        <v>1939</v>
      </c>
      <c r="M197" s="1">
        <v>987824</v>
      </c>
      <c r="N197" s="1" t="s">
        <v>8</v>
      </c>
      <c r="P197" s="1">
        <v>5000000</v>
      </c>
      <c r="Q197" s="12">
        <v>888828</v>
      </c>
      <c r="R197" s="1">
        <f t="shared" si="82"/>
        <v>5.6253853388957147</v>
      </c>
      <c r="S197" s="1" t="s">
        <v>85</v>
      </c>
      <c r="W197" s="1" t="s">
        <v>230</v>
      </c>
      <c r="X197" s="1">
        <v>1884</v>
      </c>
      <c r="Y197" s="1">
        <v>132593</v>
      </c>
      <c r="Z197" s="1">
        <v>154257</v>
      </c>
      <c r="AA197" s="8">
        <f t="shared" si="81"/>
        <v>-0.14044095243651833</v>
      </c>
    </row>
    <row r="198" spans="1:29">
      <c r="A198" s="1">
        <v>1909</v>
      </c>
      <c r="B198" s="1" t="s">
        <v>25</v>
      </c>
      <c r="C198" s="1">
        <v>1696</v>
      </c>
      <c r="D198" s="1" t="s">
        <v>4</v>
      </c>
      <c r="F198" s="1">
        <v>1910</v>
      </c>
      <c r="G198" s="1">
        <v>6419</v>
      </c>
      <c r="H198" s="2">
        <f t="shared" si="80"/>
        <v>0.69456177402323127</v>
      </c>
      <c r="L198" s="1">
        <v>1940</v>
      </c>
      <c r="M198" s="1">
        <v>1014773</v>
      </c>
      <c r="N198" s="1" t="s">
        <v>8</v>
      </c>
      <c r="W198" s="1" t="s">
        <v>230</v>
      </c>
      <c r="X198" s="1">
        <v>1885</v>
      </c>
      <c r="Y198" s="1">
        <v>121974</v>
      </c>
      <c r="Z198" s="1">
        <v>158496</v>
      </c>
      <c r="AA198" s="8">
        <f t="shared" si="81"/>
        <v>-0.23042852816474868</v>
      </c>
      <c r="AB198" s="8">
        <v>0.70975781723973963</v>
      </c>
    </row>
    <row r="199" spans="1:29">
      <c r="A199" s="1">
        <v>1909</v>
      </c>
      <c r="B199" s="1" t="s">
        <v>26</v>
      </c>
      <c r="C199" s="1">
        <v>1761</v>
      </c>
      <c r="D199" s="1" t="s">
        <v>4</v>
      </c>
      <c r="F199" s="1">
        <v>1911</v>
      </c>
      <c r="G199" s="1">
        <v>6695</v>
      </c>
      <c r="H199" s="2">
        <f t="shared" si="80"/>
        <v>4.2997351612400689E-2</v>
      </c>
      <c r="L199" s="1">
        <v>1941</v>
      </c>
      <c r="M199" s="1">
        <v>1040420</v>
      </c>
      <c r="N199" s="1" t="s">
        <v>8</v>
      </c>
      <c r="Q199" s="1">
        <f>R197/R195</f>
        <v>12.769042090097457</v>
      </c>
      <c r="W199" s="1" t="s">
        <v>230</v>
      </c>
      <c r="X199" s="1">
        <v>1886</v>
      </c>
      <c r="Y199" s="1">
        <v>126883</v>
      </c>
      <c r="Z199" s="1">
        <v>153623</v>
      </c>
      <c r="AA199" s="8">
        <f t="shared" si="81"/>
        <v>-0.17406247762379334</v>
      </c>
    </row>
    <row r="200" spans="1:29">
      <c r="A200" s="1">
        <v>1909</v>
      </c>
      <c r="B200" s="1" t="s">
        <v>27</v>
      </c>
      <c r="C200" s="1">
        <v>1530</v>
      </c>
      <c r="D200" s="1" t="s">
        <v>4</v>
      </c>
      <c r="F200" s="1">
        <v>1912</v>
      </c>
      <c r="G200" s="1">
        <v>5531</v>
      </c>
      <c r="H200" s="2">
        <f t="shared" si="80"/>
        <v>0.17386109036594474</v>
      </c>
      <c r="L200" s="1">
        <v>1942</v>
      </c>
      <c r="M200" s="1">
        <v>1071689</v>
      </c>
      <c r="N200" s="1" t="s">
        <v>8</v>
      </c>
      <c r="W200" s="1" t="s">
        <v>230</v>
      </c>
      <c r="X200" s="1">
        <v>1887</v>
      </c>
      <c r="Y200" s="1">
        <v>218763</v>
      </c>
      <c r="Z200" s="1">
        <v>227045</v>
      </c>
      <c r="AA200" s="8">
        <f t="shared" si="81"/>
        <v>-3.6477350305005651E-2</v>
      </c>
    </row>
    <row r="201" spans="1:29">
      <c r="A201" s="1">
        <v>1909</v>
      </c>
      <c r="B201" s="1" t="s">
        <v>28</v>
      </c>
      <c r="C201" s="1">
        <v>1530</v>
      </c>
      <c r="D201" s="1" t="s">
        <v>4</v>
      </c>
      <c r="F201" s="1">
        <v>1913</v>
      </c>
      <c r="G201" s="1">
        <v>8120</v>
      </c>
      <c r="H201" s="2">
        <f t="shared" si="80"/>
        <v>0.46808895317302479</v>
      </c>
      <c r="L201" s="1">
        <v>1943</v>
      </c>
      <c r="M201" s="1">
        <v>1108040</v>
      </c>
      <c r="N201" s="1" t="s">
        <v>10</v>
      </c>
      <c r="V201" s="1" t="s">
        <v>231</v>
      </c>
      <c r="W201" s="1" t="s">
        <v>230</v>
      </c>
      <c r="X201" s="1">
        <v>1888</v>
      </c>
      <c r="Y201" s="1">
        <v>150726</v>
      </c>
      <c r="Z201" s="1">
        <v>147451</v>
      </c>
      <c r="AA201" s="8">
        <f t="shared" si="81"/>
        <v>2.2210768323036145E-2</v>
      </c>
      <c r="AB201" s="8">
        <v>0.69099999999999995</v>
      </c>
    </row>
    <row r="202" spans="1:29">
      <c r="A202" s="1">
        <v>1909</v>
      </c>
      <c r="B202" s="1" t="s">
        <v>29</v>
      </c>
      <c r="C202" s="1">
        <v>1522</v>
      </c>
      <c r="D202" s="1" t="s">
        <v>4</v>
      </c>
      <c r="F202" s="1">
        <v>1914</v>
      </c>
      <c r="G202" s="1">
        <v>5149</v>
      </c>
      <c r="H202" s="2">
        <f t="shared" si="80"/>
        <v>0.36588669950738917</v>
      </c>
      <c r="L202" s="1">
        <v>1944</v>
      </c>
      <c r="M202" s="1">
        <v>1144731</v>
      </c>
      <c r="N202" s="1" t="s">
        <v>10</v>
      </c>
      <c r="V202" s="1" t="s">
        <v>232</v>
      </c>
      <c r="W202" s="1" t="s">
        <v>230</v>
      </c>
      <c r="X202" s="1">
        <v>1889</v>
      </c>
      <c r="Y202" s="1">
        <v>17759</v>
      </c>
      <c r="Z202" s="3">
        <v>20555.236477244467</v>
      </c>
      <c r="AA202" s="8">
        <f t="shared" si="81"/>
        <v>-0.13603523755808022</v>
      </c>
      <c r="AB202" s="8">
        <v>0.66097363839840839</v>
      </c>
    </row>
    <row r="203" spans="1:29">
      <c r="A203" s="1">
        <v>1909</v>
      </c>
      <c r="B203" s="1" t="s">
        <v>30</v>
      </c>
      <c r="C203" s="1">
        <v>1442</v>
      </c>
      <c r="D203" s="1" t="s">
        <v>4</v>
      </c>
      <c r="F203" s="1">
        <v>1915</v>
      </c>
      <c r="G203" s="1">
        <v>3128</v>
      </c>
      <c r="H203" s="2">
        <f t="shared" si="80"/>
        <v>0.39250339871819773</v>
      </c>
      <c r="L203" s="1">
        <v>1945</v>
      </c>
      <c r="M203" s="1">
        <v>1182877</v>
      </c>
      <c r="N203" s="1" t="s">
        <v>11</v>
      </c>
      <c r="W203" s="1" t="s">
        <v>230</v>
      </c>
      <c r="X203" s="1">
        <v>1890</v>
      </c>
      <c r="Y203" s="1">
        <v>212.1</v>
      </c>
      <c r="Z203" s="1">
        <v>220.6</v>
      </c>
      <c r="AA203" s="8">
        <f t="shared" si="81"/>
        <v>-3.853127833182235E-2</v>
      </c>
      <c r="AC203" s="1">
        <v>14333915</v>
      </c>
    </row>
    <row r="204" spans="1:29">
      <c r="A204" s="1">
        <v>1909</v>
      </c>
      <c r="B204" s="1" t="s">
        <v>31</v>
      </c>
      <c r="C204" s="1">
        <v>1540</v>
      </c>
      <c r="D204" s="1" t="s">
        <v>4</v>
      </c>
      <c r="F204" s="1">
        <v>1916</v>
      </c>
      <c r="G204" s="1">
        <v>7020</v>
      </c>
      <c r="H204" s="2">
        <f t="shared" si="80"/>
        <v>1.2442455242966752</v>
      </c>
      <c r="L204" s="1">
        <v>1946</v>
      </c>
      <c r="M204" s="1">
        <v>1225956</v>
      </c>
      <c r="N204" s="1" t="s">
        <v>12</v>
      </c>
      <c r="W204" s="1" t="s">
        <v>230</v>
      </c>
      <c r="X204" s="1">
        <v>1891</v>
      </c>
      <c r="Y204" s="1">
        <v>212.1</v>
      </c>
      <c r="Z204" s="1">
        <v>220.6</v>
      </c>
      <c r="AA204" s="8">
        <f t="shared" si="81"/>
        <v>-3.853127833182235E-2</v>
      </c>
    </row>
    <row r="205" spans="1:29">
      <c r="A205" s="1">
        <v>1909</v>
      </c>
      <c r="B205" s="1" t="s">
        <v>32</v>
      </c>
      <c r="C205" s="1">
        <v>1628</v>
      </c>
      <c r="D205" s="1" t="s">
        <v>4</v>
      </c>
      <c r="F205" s="1">
        <v>1917</v>
      </c>
      <c r="G205" s="1">
        <v>9177</v>
      </c>
      <c r="H205" s="2">
        <f t="shared" si="80"/>
        <v>0.30726495726495728</v>
      </c>
      <c r="L205" s="1">
        <v>1947</v>
      </c>
      <c r="M205" s="1">
        <v>1259826</v>
      </c>
      <c r="N205" s="1" t="s">
        <v>12</v>
      </c>
      <c r="W205" s="1" t="s">
        <v>230</v>
      </c>
      <c r="X205" s="1">
        <v>1892</v>
      </c>
      <c r="Y205" s="1">
        <v>265.10000000000002</v>
      </c>
      <c r="Z205" s="1">
        <v>324.39999999999998</v>
      </c>
      <c r="AA205" s="8">
        <f t="shared" si="81"/>
        <v>-0.1827990135635017</v>
      </c>
    </row>
    <row r="206" spans="1:29">
      <c r="A206" s="1">
        <v>1909</v>
      </c>
      <c r="B206" s="1" t="s">
        <v>33</v>
      </c>
      <c r="C206" s="1">
        <v>1661</v>
      </c>
      <c r="D206" s="1" t="s">
        <v>4</v>
      </c>
      <c r="F206" s="1">
        <v>1918</v>
      </c>
      <c r="G206" s="1">
        <v>11390</v>
      </c>
      <c r="H206" s="2">
        <f t="shared" si="80"/>
        <v>0.2411463441211725</v>
      </c>
      <c r="L206" s="1">
        <v>1950</v>
      </c>
      <c r="M206" s="1">
        <v>1328452</v>
      </c>
      <c r="N206" s="1" t="s">
        <v>13</v>
      </c>
      <c r="W206" s="1" t="s">
        <v>230</v>
      </c>
      <c r="X206" s="1">
        <v>1893</v>
      </c>
      <c r="Y206" s="1">
        <v>265.10000000000002</v>
      </c>
      <c r="Z206" s="1">
        <v>324.39999999999998</v>
      </c>
      <c r="AA206" s="8">
        <f t="shared" si="81"/>
        <v>-0.1827990135635017</v>
      </c>
    </row>
    <row r="207" spans="1:29">
      <c r="A207" s="1">
        <v>1910</v>
      </c>
      <c r="B207" s="1" t="s">
        <v>22</v>
      </c>
      <c r="C207" s="1">
        <v>1545</v>
      </c>
      <c r="D207" s="1" t="s">
        <v>4</v>
      </c>
      <c r="F207" s="1">
        <v>1919</v>
      </c>
      <c r="G207" s="1">
        <v>7267</v>
      </c>
      <c r="H207" s="2">
        <f t="shared" si="80"/>
        <v>0.3619841966637401</v>
      </c>
      <c r="W207" s="1" t="s">
        <v>230</v>
      </c>
      <c r="X207" s="1">
        <v>1894</v>
      </c>
      <c r="Y207" s="1">
        <v>265.10000000000002</v>
      </c>
      <c r="Z207" s="1">
        <v>324.39999999999998</v>
      </c>
      <c r="AA207" s="8">
        <f t="shared" si="81"/>
        <v>-0.1827990135635017</v>
      </c>
    </row>
    <row r="208" spans="1:29">
      <c r="A208" s="1">
        <v>1910</v>
      </c>
      <c r="B208" s="1" t="s">
        <v>23</v>
      </c>
      <c r="C208" s="1">
        <v>1510</v>
      </c>
      <c r="D208" s="1" t="s">
        <v>4</v>
      </c>
      <c r="F208" s="1">
        <v>1920</v>
      </c>
      <c r="G208" s="1">
        <v>6513</v>
      </c>
      <c r="H208" s="2">
        <f t="shared" si="80"/>
        <v>0.1037567084078712</v>
      </c>
      <c r="W208" s="1" t="s">
        <v>230</v>
      </c>
      <c r="X208" s="1">
        <v>1895</v>
      </c>
      <c r="Y208" s="1">
        <v>265.10000000000002</v>
      </c>
      <c r="Z208" s="1">
        <v>324.39999999999998</v>
      </c>
      <c r="AA208" s="8">
        <f t="shared" si="81"/>
        <v>-0.1827990135635017</v>
      </c>
    </row>
    <row r="209" spans="1:29">
      <c r="A209" s="1">
        <v>1910</v>
      </c>
      <c r="B209" s="1" t="s">
        <v>24</v>
      </c>
      <c r="C209" s="1">
        <v>1462</v>
      </c>
      <c r="D209" s="1" t="s">
        <v>4</v>
      </c>
      <c r="F209" s="1">
        <v>1921</v>
      </c>
      <c r="G209" s="1">
        <v>5016</v>
      </c>
      <c r="H209" s="2">
        <f t="shared" si="80"/>
        <v>0.22984799631506217</v>
      </c>
      <c r="W209" s="1" t="s">
        <v>230</v>
      </c>
      <c r="X209" s="1">
        <v>1896</v>
      </c>
      <c r="Y209" s="1">
        <v>320.5</v>
      </c>
      <c r="Z209" s="1">
        <v>429.1</v>
      </c>
      <c r="AA209" s="8">
        <f t="shared" si="81"/>
        <v>-0.25308785830808678</v>
      </c>
    </row>
    <row r="210" spans="1:29">
      <c r="A210" s="1">
        <v>1910</v>
      </c>
      <c r="B210" s="1" t="s">
        <v>25</v>
      </c>
      <c r="C210" s="1">
        <v>1447</v>
      </c>
      <c r="D210" s="1" t="s">
        <v>4</v>
      </c>
      <c r="F210" s="1">
        <v>1922</v>
      </c>
      <c r="G210" s="1">
        <v>5684</v>
      </c>
      <c r="H210" s="2">
        <f t="shared" si="80"/>
        <v>0.1331738437001595</v>
      </c>
      <c r="W210" s="1" t="s">
        <v>230</v>
      </c>
      <c r="X210" s="1">
        <v>1897</v>
      </c>
      <c r="Y210" s="1">
        <v>320.5</v>
      </c>
      <c r="Z210" s="1">
        <v>429.1</v>
      </c>
      <c r="AA210" s="8">
        <f t="shared" si="81"/>
        <v>-0.25308785830808678</v>
      </c>
    </row>
    <row r="211" spans="1:29">
      <c r="A211" s="1">
        <v>1910</v>
      </c>
      <c r="B211" s="1" t="s">
        <v>26</v>
      </c>
      <c r="C211" s="1">
        <v>1467</v>
      </c>
      <c r="D211" s="1" t="s">
        <v>4</v>
      </c>
      <c r="F211" s="1">
        <v>1923</v>
      </c>
      <c r="G211" s="1">
        <v>8571</v>
      </c>
      <c r="H211" s="2">
        <f t="shared" si="80"/>
        <v>0.50791695988740326</v>
      </c>
      <c r="W211" s="1" t="s">
        <v>230</v>
      </c>
      <c r="X211" s="1">
        <v>1898</v>
      </c>
      <c r="Y211" s="1">
        <v>320.5</v>
      </c>
      <c r="Z211" s="1">
        <v>429.1</v>
      </c>
      <c r="AA211" s="8">
        <f t="shared" si="81"/>
        <v>-0.25308785830808678</v>
      </c>
    </row>
    <row r="212" spans="1:29">
      <c r="A212" s="1">
        <v>1910</v>
      </c>
      <c r="B212" s="1" t="s">
        <v>27</v>
      </c>
      <c r="C212" s="1">
        <v>1330</v>
      </c>
      <c r="D212" s="1" t="s">
        <v>4</v>
      </c>
      <c r="F212" s="1">
        <v>1924</v>
      </c>
      <c r="G212" s="1">
        <v>15684</v>
      </c>
      <c r="H212" s="2">
        <f t="shared" si="80"/>
        <v>0.82989149457472877</v>
      </c>
      <c r="X212" s="1">
        <v>1899</v>
      </c>
      <c r="Y212" s="1">
        <v>320.5</v>
      </c>
      <c r="Z212" s="1">
        <v>429.1</v>
      </c>
      <c r="AA212" s="8">
        <f t="shared" si="81"/>
        <v>-0.25308785830808678</v>
      </c>
    </row>
    <row r="213" spans="1:29">
      <c r="A213" s="1">
        <v>1910</v>
      </c>
      <c r="B213" s="1" t="s">
        <v>28</v>
      </c>
      <c r="C213" s="1">
        <v>1307</v>
      </c>
      <c r="D213" s="1" t="s">
        <v>4</v>
      </c>
      <c r="F213" s="1">
        <v>1925</v>
      </c>
      <c r="G213" s="1">
        <v>17652</v>
      </c>
      <c r="H213" s="2">
        <f t="shared" si="80"/>
        <v>0.12547819433817903</v>
      </c>
      <c r="W213" s="1" t="s">
        <v>233</v>
      </c>
      <c r="X213" s="1">
        <v>1900</v>
      </c>
      <c r="Y213" s="1">
        <v>320.5</v>
      </c>
      <c r="Z213" s="1">
        <v>429.1</v>
      </c>
      <c r="AA213" s="8">
        <f t="shared" si="81"/>
        <v>-0.25308785830808678</v>
      </c>
      <c r="AB213" s="8">
        <v>0.65500000000000003</v>
      </c>
      <c r="AC213" s="1">
        <v>17318556</v>
      </c>
    </row>
    <row r="214" spans="1:29">
      <c r="A214" s="1">
        <v>1910</v>
      </c>
      <c r="B214" s="1" t="s">
        <v>29</v>
      </c>
      <c r="C214" s="1">
        <v>1332</v>
      </c>
      <c r="D214" s="1" t="s">
        <v>4</v>
      </c>
      <c r="F214" s="1">
        <v>1926</v>
      </c>
      <c r="G214" s="1">
        <v>12205</v>
      </c>
      <c r="H214" s="2">
        <f t="shared" si="80"/>
        <v>0.30857693179243145</v>
      </c>
      <c r="X214" s="1">
        <v>1901</v>
      </c>
      <c r="Y214" s="1">
        <v>381.5</v>
      </c>
      <c r="Z214" s="1">
        <v>366.7</v>
      </c>
      <c r="AA214" s="8">
        <f t="shared" si="81"/>
        <v>4.0359967275702235E-2</v>
      </c>
      <c r="AB214" s="8"/>
    </row>
    <row r="215" spans="1:29">
      <c r="A215" s="1">
        <v>1910</v>
      </c>
      <c r="B215" s="1" t="s">
        <v>30</v>
      </c>
      <c r="C215" s="1">
        <v>1337</v>
      </c>
      <c r="D215" s="1" t="s">
        <v>4</v>
      </c>
      <c r="F215" s="1">
        <v>1927</v>
      </c>
      <c r="G215" s="1">
        <v>11977</v>
      </c>
      <c r="H215" s="2">
        <f t="shared" si="80"/>
        <v>1.868086849651782E-2</v>
      </c>
      <c r="X215" s="1">
        <v>1902</v>
      </c>
      <c r="Y215" s="1">
        <v>381500</v>
      </c>
      <c r="Z215" s="1">
        <v>366700</v>
      </c>
      <c r="AA215" s="8">
        <f t="shared" si="81"/>
        <v>4.0359967275702235E-2</v>
      </c>
    </row>
    <row r="216" spans="1:29">
      <c r="A216" s="1">
        <v>1910</v>
      </c>
      <c r="B216" s="1" t="s">
        <v>31</v>
      </c>
      <c r="C216" s="1">
        <v>1290</v>
      </c>
      <c r="D216" s="1" t="s">
        <v>4</v>
      </c>
      <c r="F216" s="1">
        <v>1928</v>
      </c>
      <c r="G216" s="1">
        <v>14305</v>
      </c>
      <c r="H216" s="2">
        <f t="shared" si="80"/>
        <v>0.19437254738248308</v>
      </c>
      <c r="X216" s="1">
        <v>1903</v>
      </c>
      <c r="Y216" s="1">
        <v>381500</v>
      </c>
      <c r="Z216" s="1">
        <v>366700</v>
      </c>
      <c r="AA216" s="8">
        <f t="shared" si="81"/>
        <v>4.0359967275702235E-2</v>
      </c>
    </row>
    <row r="217" spans="1:29">
      <c r="A217" s="1">
        <v>1910</v>
      </c>
      <c r="B217" s="1" t="s">
        <v>32</v>
      </c>
      <c r="C217" s="1">
        <v>1302</v>
      </c>
      <c r="D217" s="1" t="s">
        <v>4</v>
      </c>
      <c r="F217" s="1">
        <v>1929</v>
      </c>
      <c r="G217" s="1">
        <v>13850</v>
      </c>
      <c r="H217" s="2">
        <f t="shared" si="80"/>
        <v>3.1807060468367704E-2</v>
      </c>
      <c r="X217" s="1">
        <v>1904</v>
      </c>
      <c r="Y217" s="1">
        <v>381500</v>
      </c>
      <c r="Z217" s="1">
        <v>366700</v>
      </c>
      <c r="AA217" s="8">
        <f t="shared" si="81"/>
        <v>4.0359967275702235E-2</v>
      </c>
    </row>
    <row r="218" spans="1:29">
      <c r="A218" s="1">
        <v>1910</v>
      </c>
      <c r="B218" s="1" t="s">
        <v>33</v>
      </c>
      <c r="C218" s="1">
        <v>1275</v>
      </c>
      <c r="D218" s="1" t="s">
        <v>4</v>
      </c>
      <c r="F218" s="1">
        <v>1930</v>
      </c>
      <c r="G218" s="1">
        <v>15139</v>
      </c>
      <c r="H218" s="2">
        <f t="shared" si="80"/>
        <v>9.3068592057761731E-2</v>
      </c>
      <c r="X218" s="1">
        <v>1905</v>
      </c>
      <c r="Y218" s="1">
        <v>381500</v>
      </c>
      <c r="Z218" s="1">
        <v>366700</v>
      </c>
      <c r="AA218" s="8">
        <f t="shared" si="81"/>
        <v>4.0359967275702235E-2</v>
      </c>
    </row>
    <row r="219" spans="1:29">
      <c r="A219" s="1">
        <v>1911</v>
      </c>
      <c r="B219" s="1" t="s">
        <v>22</v>
      </c>
      <c r="C219" s="1">
        <v>1252</v>
      </c>
      <c r="D219" s="1" t="s">
        <v>4</v>
      </c>
      <c r="F219" s="1">
        <v>1931</v>
      </c>
      <c r="G219" s="1">
        <v>10080</v>
      </c>
      <c r="H219" s="2">
        <f t="shared" si="80"/>
        <v>0.33417002444018762</v>
      </c>
      <c r="X219" s="1">
        <v>1906</v>
      </c>
      <c r="Y219" s="1">
        <v>476700</v>
      </c>
      <c r="Z219" s="1">
        <v>519700</v>
      </c>
      <c r="AA219" s="8">
        <f t="shared" si="81"/>
        <v>-8.2740042332114627E-2</v>
      </c>
    </row>
    <row r="220" spans="1:29">
      <c r="A220" s="1">
        <v>1911</v>
      </c>
      <c r="B220" s="1" t="s">
        <v>23</v>
      </c>
      <c r="C220" s="1">
        <v>1255</v>
      </c>
      <c r="D220" s="1" t="s">
        <v>4</v>
      </c>
      <c r="F220" s="1">
        <v>1932</v>
      </c>
      <c r="G220" s="1">
        <v>6417</v>
      </c>
      <c r="H220" s="2">
        <f t="shared" si="80"/>
        <v>0.36339285714285713</v>
      </c>
      <c r="X220" s="1">
        <v>1907</v>
      </c>
      <c r="Y220" s="1">
        <v>476700</v>
      </c>
      <c r="Z220" s="1">
        <v>519700</v>
      </c>
      <c r="AA220" s="8">
        <f t="shared" si="81"/>
        <v>-8.2740042332114627E-2</v>
      </c>
    </row>
    <row r="221" spans="1:29">
      <c r="A221" s="1">
        <v>1911</v>
      </c>
      <c r="B221" s="1" t="s">
        <v>24</v>
      </c>
      <c r="C221" s="1">
        <v>1330</v>
      </c>
      <c r="D221" s="1" t="s">
        <v>4</v>
      </c>
      <c r="F221" s="1">
        <v>1933</v>
      </c>
      <c r="G221" s="1">
        <v>7159</v>
      </c>
      <c r="H221" s="2">
        <f t="shared" si="80"/>
        <v>0.11563035686457847</v>
      </c>
      <c r="X221" s="1">
        <v>1908</v>
      </c>
      <c r="Y221" s="1">
        <v>476700</v>
      </c>
      <c r="Z221" s="1">
        <v>519700</v>
      </c>
      <c r="AA221" s="8">
        <f t="shared" si="81"/>
        <v>-8.2740042332114627E-2</v>
      </c>
    </row>
    <row r="222" spans="1:29">
      <c r="A222" s="1">
        <v>1911</v>
      </c>
      <c r="B222" s="1" t="s">
        <v>25</v>
      </c>
      <c r="C222" s="1">
        <v>1275</v>
      </c>
      <c r="D222" s="1" t="s">
        <v>4</v>
      </c>
      <c r="F222" s="1">
        <v>1934</v>
      </c>
      <c r="G222" s="1">
        <v>11340</v>
      </c>
      <c r="H222" s="2">
        <f t="shared" si="80"/>
        <v>0.584020114541137</v>
      </c>
      <c r="X222" s="1">
        <v>1909</v>
      </c>
      <c r="Y222" s="1">
        <v>476700</v>
      </c>
      <c r="Z222" s="1">
        <v>519700</v>
      </c>
      <c r="AA222" s="8">
        <f t="shared" si="81"/>
        <v>-8.2740042332114627E-2</v>
      </c>
    </row>
    <row r="223" spans="1:29">
      <c r="A223" s="1">
        <v>1911</v>
      </c>
      <c r="B223" s="1" t="s">
        <v>26</v>
      </c>
      <c r="C223" s="1">
        <v>1250</v>
      </c>
      <c r="D223" s="1" t="s">
        <v>4</v>
      </c>
      <c r="F223" s="1">
        <v>1935</v>
      </c>
      <c r="G223" s="1">
        <v>11630</v>
      </c>
      <c r="H223" s="2">
        <f t="shared" si="80"/>
        <v>2.5573192239858905E-2</v>
      </c>
      <c r="X223" s="1">
        <v>1910</v>
      </c>
      <c r="Y223" s="1">
        <v>476700</v>
      </c>
      <c r="Z223" s="1">
        <v>519700</v>
      </c>
      <c r="AA223" s="8">
        <f t="shared" si="81"/>
        <v>-8.2740042332114627E-2</v>
      </c>
    </row>
    <row r="224" spans="1:29">
      <c r="A224" s="1">
        <v>1911</v>
      </c>
      <c r="B224" s="1" t="s">
        <v>27</v>
      </c>
      <c r="C224" s="1">
        <v>1230</v>
      </c>
      <c r="D224" s="1" t="s">
        <v>4</v>
      </c>
      <c r="F224" s="1">
        <v>1936</v>
      </c>
      <c r="G224" s="1">
        <v>9814</v>
      </c>
      <c r="H224" s="2">
        <f t="shared" si="80"/>
        <v>0.15614789337919174</v>
      </c>
      <c r="X224" s="1">
        <v>1911</v>
      </c>
      <c r="Y224" s="1">
        <v>532200</v>
      </c>
      <c r="Z224" s="1">
        <v>737900</v>
      </c>
      <c r="AA224" s="8">
        <f t="shared" si="81"/>
        <v>-0.27876406017075483</v>
      </c>
    </row>
    <row r="225" spans="1:29">
      <c r="A225" s="1">
        <v>1911</v>
      </c>
      <c r="B225" s="1" t="s">
        <v>28</v>
      </c>
      <c r="C225" s="1">
        <v>1200</v>
      </c>
      <c r="D225" s="1" t="s">
        <v>4</v>
      </c>
      <c r="F225" s="1">
        <v>1937</v>
      </c>
      <c r="G225" s="1">
        <v>12401</v>
      </c>
      <c r="H225" s="2">
        <f t="shared" si="80"/>
        <v>0.26360301609944975</v>
      </c>
      <c r="X225" s="1">
        <v>1912</v>
      </c>
      <c r="Y225" s="1">
        <v>532200</v>
      </c>
      <c r="Z225" s="1">
        <v>737900</v>
      </c>
      <c r="AA225" s="8">
        <f t="shared" si="81"/>
        <v>-0.27876406017075483</v>
      </c>
    </row>
    <row r="226" spans="1:29">
      <c r="A226" s="1">
        <v>1911</v>
      </c>
      <c r="B226" s="1" t="s">
        <v>29</v>
      </c>
      <c r="C226" s="1">
        <v>1165</v>
      </c>
      <c r="D226" s="1" t="s">
        <v>4</v>
      </c>
      <c r="F226" s="1">
        <v>1938</v>
      </c>
      <c r="G226" s="1">
        <v>13083</v>
      </c>
      <c r="H226" s="2">
        <f t="shared" si="80"/>
        <v>5.4995564873800501E-2</v>
      </c>
      <c r="X226" s="1">
        <v>1913</v>
      </c>
      <c r="Y226" s="1">
        <v>532200</v>
      </c>
      <c r="Z226" s="1">
        <v>737900</v>
      </c>
      <c r="AA226" s="8">
        <f t="shared" si="81"/>
        <v>-0.27876406017075483</v>
      </c>
    </row>
    <row r="227" spans="1:29">
      <c r="A227" s="1">
        <v>1911</v>
      </c>
      <c r="B227" s="1" t="s">
        <v>30</v>
      </c>
      <c r="C227" s="1">
        <v>1170</v>
      </c>
      <c r="D227" s="1" t="s">
        <v>4</v>
      </c>
      <c r="F227" s="1">
        <v>1939</v>
      </c>
      <c r="G227" s="1">
        <v>12604</v>
      </c>
      <c r="H227" s="2">
        <f t="shared" si="80"/>
        <v>3.6612397768096001E-2</v>
      </c>
      <c r="X227" s="1">
        <v>1914</v>
      </c>
      <c r="Y227" s="1">
        <v>532200</v>
      </c>
      <c r="Z227" s="1">
        <v>737900</v>
      </c>
      <c r="AA227" s="8">
        <f t="shared" si="81"/>
        <v>-0.27876406017075483</v>
      </c>
    </row>
    <row r="228" spans="1:29">
      <c r="A228" s="1">
        <v>1911</v>
      </c>
      <c r="B228" s="1" t="s">
        <v>31</v>
      </c>
      <c r="C228" s="1">
        <v>1120</v>
      </c>
      <c r="D228" s="1" t="s">
        <v>4</v>
      </c>
      <c r="F228" s="1">
        <v>1940</v>
      </c>
      <c r="G228" s="1">
        <v>14894</v>
      </c>
      <c r="H228" s="2">
        <f t="shared" si="80"/>
        <v>0.18168835290384006</v>
      </c>
      <c r="X228" s="1">
        <v>1915</v>
      </c>
      <c r="Y228" s="1">
        <v>532200</v>
      </c>
      <c r="Z228" s="1">
        <v>737900</v>
      </c>
      <c r="AA228" s="8">
        <f t="shared" si="81"/>
        <v>-0.27876406017075483</v>
      </c>
    </row>
    <row r="229" spans="1:29">
      <c r="A229" s="1">
        <v>1911</v>
      </c>
      <c r="B229" s="1" t="s">
        <v>32</v>
      </c>
      <c r="C229" s="1">
        <v>1157</v>
      </c>
      <c r="D229" s="1" t="s">
        <v>4</v>
      </c>
      <c r="F229" s="1">
        <v>1941</v>
      </c>
      <c r="G229" s="1">
        <v>12187</v>
      </c>
      <c r="H229" s="2">
        <f t="shared" si="80"/>
        <v>0.18175104068752518</v>
      </c>
      <c r="X229" s="1">
        <v>1916</v>
      </c>
      <c r="Y229" s="1">
        <v>636400</v>
      </c>
      <c r="Z229" s="1">
        <v>902700</v>
      </c>
      <c r="AA229" s="8">
        <f t="shared" si="81"/>
        <v>-0.29500387725711752</v>
      </c>
    </row>
    <row r="230" spans="1:29">
      <c r="A230" s="1">
        <v>1911</v>
      </c>
      <c r="B230" s="1" t="s">
        <v>33</v>
      </c>
      <c r="C230" s="1">
        <v>1217</v>
      </c>
      <c r="D230" s="1" t="s">
        <v>4</v>
      </c>
      <c r="F230" s="1">
        <v>1942</v>
      </c>
      <c r="G230" s="1">
        <v>17162</v>
      </c>
      <c r="H230" s="2">
        <f t="shared" si="80"/>
        <v>0.40822187576926233</v>
      </c>
      <c r="X230" s="1">
        <v>1917</v>
      </c>
      <c r="Y230" s="1">
        <v>636400</v>
      </c>
      <c r="Z230" s="1">
        <v>902700</v>
      </c>
      <c r="AA230" s="8">
        <f t="shared" si="81"/>
        <v>-0.29500387725711752</v>
      </c>
    </row>
    <row r="231" spans="1:29">
      <c r="A231" s="1">
        <v>1912</v>
      </c>
      <c r="B231" s="1" t="s">
        <v>22</v>
      </c>
      <c r="C231" s="1">
        <v>1368</v>
      </c>
      <c r="D231" s="1" t="s">
        <v>4</v>
      </c>
      <c r="F231" s="1">
        <v>1943</v>
      </c>
      <c r="G231" s="1">
        <v>21054</v>
      </c>
      <c r="H231" s="2">
        <f t="shared" si="80"/>
        <v>0.22678009555995804</v>
      </c>
      <c r="X231" s="1">
        <v>1918</v>
      </c>
      <c r="Y231" s="1">
        <v>636400</v>
      </c>
      <c r="Z231" s="1">
        <v>902700</v>
      </c>
      <c r="AA231" s="8">
        <f t="shared" si="81"/>
        <v>-0.29500387725711752</v>
      </c>
    </row>
    <row r="232" spans="1:29">
      <c r="A232" s="1">
        <v>1912</v>
      </c>
      <c r="B232" s="1" t="s">
        <v>23</v>
      </c>
      <c r="C232" s="1">
        <v>1600</v>
      </c>
      <c r="D232" s="1" t="s">
        <v>4</v>
      </c>
      <c r="F232" s="1">
        <v>1944</v>
      </c>
      <c r="G232" s="1">
        <v>22879</v>
      </c>
      <c r="H232" s="2">
        <f t="shared" si="80"/>
        <v>8.6681865678730888E-2</v>
      </c>
      <c r="X232" s="1">
        <v>1919</v>
      </c>
      <c r="Y232" s="1">
        <v>636400</v>
      </c>
      <c r="Z232" s="1">
        <v>902700</v>
      </c>
      <c r="AA232" s="8">
        <f t="shared" si="81"/>
        <v>-0.29500387725711752</v>
      </c>
    </row>
    <row r="233" spans="1:29">
      <c r="A233" s="1">
        <v>1912</v>
      </c>
      <c r="B233" s="1" t="s">
        <v>24</v>
      </c>
      <c r="C233" s="1">
        <v>1700</v>
      </c>
      <c r="D233" s="1" t="s">
        <v>4</v>
      </c>
      <c r="F233" s="1">
        <v>1945</v>
      </c>
      <c r="G233" s="1">
        <v>31234</v>
      </c>
      <c r="H233" s="2">
        <f t="shared" si="80"/>
        <v>0.36518204466978454</v>
      </c>
      <c r="W233" s="1" t="s">
        <v>233</v>
      </c>
      <c r="X233" s="1">
        <v>1920</v>
      </c>
      <c r="Y233" s="1">
        <v>636400</v>
      </c>
      <c r="Z233" s="1">
        <v>902700</v>
      </c>
      <c r="AA233" s="8">
        <f t="shared" si="81"/>
        <v>-0.29500387725711752</v>
      </c>
      <c r="AB233" s="8">
        <v>0.56799999999999995</v>
      </c>
      <c r="AC233" s="1">
        <v>30635605</v>
      </c>
    </row>
    <row r="234" spans="1:29">
      <c r="A234" s="1">
        <v>1912</v>
      </c>
      <c r="B234" s="1" t="s">
        <v>25</v>
      </c>
      <c r="C234" s="1">
        <v>1590</v>
      </c>
      <c r="D234" s="1" t="s">
        <v>4</v>
      </c>
      <c r="F234" s="1">
        <v>1946</v>
      </c>
      <c r="G234" s="3">
        <v>37979.699999999997</v>
      </c>
      <c r="H234" s="2">
        <f t="shared" si="80"/>
        <v>0.21597297816482031</v>
      </c>
      <c r="I234" s="3"/>
      <c r="X234" s="1">
        <v>1921</v>
      </c>
      <c r="Y234" s="1">
        <v>1290400</v>
      </c>
      <c r="Z234" s="1">
        <v>1515300</v>
      </c>
      <c r="AA234" s="8">
        <f t="shared" si="81"/>
        <v>-0.14841945489342045</v>
      </c>
    </row>
    <row r="235" spans="1:29">
      <c r="A235" s="1">
        <v>1912</v>
      </c>
      <c r="B235" s="1" t="s">
        <v>26</v>
      </c>
      <c r="C235" s="1">
        <v>1590</v>
      </c>
      <c r="D235" s="1" t="s">
        <v>4</v>
      </c>
      <c r="H235" s="2">
        <f>AVERAGE(H189:H234)</f>
        <v>0.27587475888933227</v>
      </c>
      <c r="X235" s="1">
        <v>1922</v>
      </c>
      <c r="Y235" s="1">
        <v>1290400</v>
      </c>
      <c r="Z235" s="1">
        <v>1515300</v>
      </c>
      <c r="AA235" s="8">
        <f t="shared" si="81"/>
        <v>-0.14841945489342045</v>
      </c>
    </row>
    <row r="236" spans="1:29">
      <c r="A236" s="1">
        <v>1912</v>
      </c>
      <c r="B236" s="1" t="s">
        <v>27</v>
      </c>
      <c r="C236" s="1">
        <v>1485</v>
      </c>
      <c r="D236" s="1" t="s">
        <v>4</v>
      </c>
      <c r="X236" s="1">
        <v>1923</v>
      </c>
      <c r="Y236" s="1">
        <v>1290400</v>
      </c>
      <c r="Z236" s="1">
        <v>1515300</v>
      </c>
      <c r="AA236" s="8">
        <f t="shared" si="81"/>
        <v>-0.14841945489342045</v>
      </c>
    </row>
    <row r="237" spans="1:29">
      <c r="A237" s="1">
        <v>1912</v>
      </c>
      <c r="B237" s="1" t="s">
        <v>28</v>
      </c>
      <c r="C237" s="1">
        <v>1485</v>
      </c>
      <c r="D237" s="1" t="s">
        <v>4</v>
      </c>
      <c r="X237" s="1">
        <v>1924</v>
      </c>
      <c r="Y237" s="1">
        <v>1290400</v>
      </c>
      <c r="Z237" s="1">
        <v>1515300</v>
      </c>
      <c r="AA237" s="8">
        <f t="shared" si="81"/>
        <v>-0.14841945489342045</v>
      </c>
    </row>
    <row r="238" spans="1:29">
      <c r="A238" s="1">
        <v>1912</v>
      </c>
      <c r="B238" s="1" t="s">
        <v>29</v>
      </c>
      <c r="C238" s="1">
        <v>1495</v>
      </c>
      <c r="D238" s="1" t="s">
        <v>4</v>
      </c>
      <c r="X238" s="1">
        <v>1925</v>
      </c>
      <c r="Y238" s="1">
        <v>1290400</v>
      </c>
      <c r="Z238" s="1">
        <v>1515300</v>
      </c>
      <c r="AA238" s="8">
        <f t="shared" si="81"/>
        <v>-0.14841945489342045</v>
      </c>
    </row>
    <row r="239" spans="1:29">
      <c r="A239" s="1">
        <v>1912</v>
      </c>
      <c r="B239" s="1" t="s">
        <v>30</v>
      </c>
      <c r="C239" s="1">
        <v>1500</v>
      </c>
      <c r="D239" s="1" t="s">
        <v>4</v>
      </c>
      <c r="X239" s="1">
        <v>1926</v>
      </c>
      <c r="Y239" s="1">
        <v>1956600</v>
      </c>
      <c r="Z239" s="1">
        <v>2235300</v>
      </c>
      <c r="AA239" s="8">
        <f t="shared" si="81"/>
        <v>-0.12468125083881354</v>
      </c>
    </row>
    <row r="240" spans="1:29">
      <c r="A240" s="1">
        <v>1912</v>
      </c>
      <c r="B240" s="1" t="s">
        <v>31</v>
      </c>
      <c r="C240" s="1">
        <v>1500</v>
      </c>
      <c r="D240" s="1" t="s">
        <v>4</v>
      </c>
      <c r="G240" s="1" t="s">
        <v>234</v>
      </c>
      <c r="X240" s="1">
        <v>1927</v>
      </c>
      <c r="Y240" s="1">
        <v>1956600</v>
      </c>
      <c r="Z240" s="1">
        <v>2235300</v>
      </c>
      <c r="AA240" s="8">
        <f t="shared" si="81"/>
        <v>-0.12468125083881354</v>
      </c>
    </row>
    <row r="241" spans="1:27">
      <c r="A241" s="1">
        <v>1912</v>
      </c>
      <c r="B241" s="1" t="s">
        <v>32</v>
      </c>
      <c r="C241" s="1">
        <v>1490</v>
      </c>
      <c r="D241" s="1" t="s">
        <v>4</v>
      </c>
      <c r="F241" s="1" t="s">
        <v>108</v>
      </c>
      <c r="G241" s="1">
        <v>13115901</v>
      </c>
      <c r="H241" s="1">
        <v>14606693</v>
      </c>
      <c r="I241" s="1">
        <v>1939859</v>
      </c>
      <c r="J241" s="1">
        <v>11012747</v>
      </c>
      <c r="X241" s="1">
        <v>1928</v>
      </c>
      <c r="Y241" s="1">
        <v>1956600</v>
      </c>
      <c r="Z241" s="1">
        <v>2235300</v>
      </c>
      <c r="AA241" s="8">
        <f t="shared" si="81"/>
        <v>-0.12468125083881354</v>
      </c>
    </row>
    <row r="242" spans="1:27">
      <c r="A242" s="1">
        <v>1912</v>
      </c>
      <c r="B242" s="1" t="s">
        <v>33</v>
      </c>
      <c r="C242" s="1">
        <v>1495</v>
      </c>
      <c r="D242" s="1" t="s">
        <v>4</v>
      </c>
      <c r="F242" s="1" t="s">
        <v>235</v>
      </c>
      <c r="G242" s="8">
        <v>0.32245449315553459</v>
      </c>
      <c r="H242" s="8">
        <v>0.3591056220989694</v>
      </c>
      <c r="I242" s="8">
        <v>4.7691443434820235E-2</v>
      </c>
      <c r="J242" s="8">
        <v>0.27074844131067577</v>
      </c>
      <c r="X242" s="1">
        <v>1929</v>
      </c>
      <c r="Y242" s="1">
        <v>1956600</v>
      </c>
      <c r="Z242" s="1">
        <v>2235300</v>
      </c>
      <c r="AA242" s="8">
        <f t="shared" si="81"/>
        <v>-0.12468125083881354</v>
      </c>
    </row>
    <row r="243" spans="1:27">
      <c r="A243" s="1">
        <v>1913</v>
      </c>
      <c r="B243" s="1" t="s">
        <v>22</v>
      </c>
      <c r="C243" s="1">
        <v>1506</v>
      </c>
      <c r="D243" s="1" t="s">
        <v>4</v>
      </c>
      <c r="G243" s="1" t="s">
        <v>236</v>
      </c>
      <c r="H243" s="1" t="s">
        <v>237</v>
      </c>
      <c r="I243" s="1" t="s">
        <v>238</v>
      </c>
      <c r="J243" s="1" t="s">
        <v>239</v>
      </c>
      <c r="X243" s="1">
        <v>1930</v>
      </c>
      <c r="Y243" s="1">
        <v>1956600</v>
      </c>
      <c r="Z243" s="1">
        <v>2235300</v>
      </c>
      <c r="AA243" s="8">
        <f t="shared" si="81"/>
        <v>-0.12468125083881354</v>
      </c>
    </row>
    <row r="244" spans="1:27">
      <c r="A244" s="1">
        <v>1913</v>
      </c>
      <c r="B244" s="1" t="s">
        <v>23</v>
      </c>
      <c r="C244" s="1">
        <v>1507</v>
      </c>
      <c r="D244" s="1" t="s">
        <v>4</v>
      </c>
      <c r="G244" s="1" t="s">
        <v>240</v>
      </c>
    </row>
    <row r="245" spans="1:27">
      <c r="A245" s="1">
        <v>1913</v>
      </c>
      <c r="B245" s="1" t="s">
        <v>24</v>
      </c>
      <c r="C245" s="1">
        <v>1503</v>
      </c>
      <c r="D245" s="1" t="s">
        <v>4</v>
      </c>
      <c r="G245" s="8">
        <v>0.55800000000000005</v>
      </c>
      <c r="H245" s="8">
        <v>0.34300000000000003</v>
      </c>
      <c r="I245" s="8">
        <v>9.1999999999999998E-2</v>
      </c>
    </row>
    <row r="246" spans="1:27">
      <c r="A246" s="1">
        <v>1913</v>
      </c>
      <c r="B246" s="1" t="s">
        <v>25</v>
      </c>
      <c r="C246" s="1">
        <v>1503</v>
      </c>
      <c r="D246" s="1" t="s">
        <v>4</v>
      </c>
      <c r="G246" s="1" t="s">
        <v>241</v>
      </c>
      <c r="H246" s="1" t="s">
        <v>242</v>
      </c>
      <c r="I246" s="1" t="s">
        <v>243</v>
      </c>
    </row>
    <row r="247" spans="1:27">
      <c r="A247" s="1">
        <v>1913</v>
      </c>
      <c r="B247" s="1" t="s">
        <v>26</v>
      </c>
      <c r="C247" s="1">
        <v>1503</v>
      </c>
      <c r="D247" s="1" t="s">
        <v>4</v>
      </c>
      <c r="G247" s="1" t="s">
        <v>244</v>
      </c>
    </row>
    <row r="248" spans="1:27">
      <c r="A248" s="1">
        <v>1913</v>
      </c>
      <c r="B248" s="1" t="s">
        <v>27</v>
      </c>
      <c r="C248" s="1">
        <v>1500</v>
      </c>
      <c r="D248" s="1" t="s">
        <v>4</v>
      </c>
      <c r="G248" s="8">
        <v>0.55000000000000004</v>
      </c>
      <c r="H248" s="8">
        <v>0.14399999999999999</v>
      </c>
      <c r="I248" s="8">
        <v>0.222</v>
      </c>
      <c r="J248" s="8">
        <v>8.7999999999999995E-2</v>
      </c>
    </row>
    <row r="249" spans="1:27">
      <c r="A249" s="1">
        <v>1913</v>
      </c>
      <c r="B249" s="1" t="s">
        <v>28</v>
      </c>
      <c r="C249" s="1">
        <v>1520</v>
      </c>
      <c r="D249" s="1" t="s">
        <v>4</v>
      </c>
      <c r="G249" s="1" t="s">
        <v>245</v>
      </c>
      <c r="H249" s="1" t="s">
        <v>246</v>
      </c>
      <c r="I249" s="1" t="s">
        <v>247</v>
      </c>
      <c r="J249" s="1" t="s">
        <v>248</v>
      </c>
    </row>
    <row r="250" spans="1:27">
      <c r="A250" s="1">
        <v>1913</v>
      </c>
      <c r="B250" s="1" t="s">
        <v>29</v>
      </c>
      <c r="C250" s="1">
        <v>1500</v>
      </c>
      <c r="D250" s="1" t="s">
        <v>4</v>
      </c>
    </row>
    <row r="251" spans="1:27">
      <c r="A251" s="1">
        <v>1913</v>
      </c>
      <c r="B251" s="1" t="s">
        <v>30</v>
      </c>
      <c r="C251" s="1">
        <v>1575</v>
      </c>
      <c r="D251" s="1" t="s">
        <v>4</v>
      </c>
    </row>
    <row r="252" spans="1:27">
      <c r="A252" s="1">
        <v>1913</v>
      </c>
      <c r="B252" s="1" t="s">
        <v>31</v>
      </c>
      <c r="C252" s="1">
        <v>1575</v>
      </c>
      <c r="D252" s="1" t="s">
        <v>4</v>
      </c>
    </row>
    <row r="253" spans="1:27">
      <c r="A253" s="1">
        <v>1913</v>
      </c>
      <c r="B253" s="1" t="s">
        <v>32</v>
      </c>
      <c r="C253" s="1">
        <v>1595</v>
      </c>
      <c r="D253" s="1" t="s">
        <v>4</v>
      </c>
    </row>
    <row r="254" spans="1:27">
      <c r="A254" s="1">
        <v>1913</v>
      </c>
      <c r="B254" s="1" t="s">
        <v>33</v>
      </c>
      <c r="C254" s="1">
        <v>1660</v>
      </c>
      <c r="D254" s="1" t="s">
        <v>4</v>
      </c>
    </row>
    <row r="255" spans="1:27">
      <c r="A255" s="1">
        <v>1914</v>
      </c>
      <c r="B255" s="1" t="s">
        <v>22</v>
      </c>
      <c r="C255" s="1">
        <v>1745</v>
      </c>
      <c r="D255" s="1" t="s">
        <v>4</v>
      </c>
    </row>
    <row r="256" spans="1:27">
      <c r="A256" s="1">
        <v>1914</v>
      </c>
      <c r="B256" s="1" t="s">
        <v>23</v>
      </c>
      <c r="C256" s="1">
        <v>1785</v>
      </c>
      <c r="D256" s="1" t="s">
        <v>4</v>
      </c>
    </row>
    <row r="257" spans="1:4">
      <c r="A257" s="1">
        <v>1914</v>
      </c>
      <c r="B257" s="1" t="s">
        <v>24</v>
      </c>
      <c r="C257" s="1">
        <v>1825</v>
      </c>
      <c r="D257" s="1" t="s">
        <v>4</v>
      </c>
    </row>
    <row r="258" spans="1:4">
      <c r="A258" s="1">
        <v>1914</v>
      </c>
      <c r="B258" s="1" t="s">
        <v>25</v>
      </c>
      <c r="C258" s="1">
        <v>1892</v>
      </c>
      <c r="D258" s="1" t="s">
        <v>4</v>
      </c>
    </row>
    <row r="259" spans="1:4">
      <c r="A259" s="1">
        <v>1914</v>
      </c>
      <c r="B259" s="1" t="s">
        <v>26</v>
      </c>
      <c r="C259" s="1">
        <v>1945</v>
      </c>
      <c r="D259" s="1" t="s">
        <v>4</v>
      </c>
    </row>
    <row r="260" spans="1:4">
      <c r="A260" s="1">
        <v>1914</v>
      </c>
      <c r="B260" s="1" t="s">
        <v>27</v>
      </c>
      <c r="C260" s="1">
        <v>2002</v>
      </c>
      <c r="D260" s="1" t="s">
        <v>4</v>
      </c>
    </row>
    <row r="261" spans="1:4">
      <c r="A261" s="1">
        <v>1914</v>
      </c>
      <c r="B261" s="1" t="s">
        <v>28</v>
      </c>
      <c r="C261" s="1">
        <v>2116</v>
      </c>
      <c r="D261" s="1" t="s">
        <v>4</v>
      </c>
    </row>
    <row r="262" spans="1:4">
      <c r="A262" s="1">
        <v>1914</v>
      </c>
      <c r="B262" s="1" t="s">
        <v>29</v>
      </c>
      <c r="C262" s="1">
        <v>2200</v>
      </c>
      <c r="D262" s="1" t="s">
        <v>4</v>
      </c>
    </row>
    <row r="263" spans="1:4">
      <c r="A263" s="1">
        <v>1914</v>
      </c>
      <c r="B263" s="1" t="s">
        <v>30</v>
      </c>
      <c r="C263" s="1">
        <v>2290</v>
      </c>
      <c r="D263" s="1" t="s">
        <v>4</v>
      </c>
    </row>
    <row r="264" spans="1:4">
      <c r="A264" s="1">
        <v>1914</v>
      </c>
      <c r="B264" s="1" t="s">
        <v>31</v>
      </c>
      <c r="C264" s="1">
        <v>2300</v>
      </c>
      <c r="D264" s="1" t="s">
        <v>4</v>
      </c>
    </row>
    <row r="265" spans="1:4">
      <c r="A265" s="1">
        <v>1914</v>
      </c>
      <c r="B265" s="1" t="s">
        <v>32</v>
      </c>
      <c r="C265" s="1">
        <v>2300</v>
      </c>
      <c r="D265" s="1" t="s">
        <v>4</v>
      </c>
    </row>
    <row r="266" spans="1:4">
      <c r="A266" s="1">
        <v>1914</v>
      </c>
      <c r="B266" s="1" t="s">
        <v>33</v>
      </c>
      <c r="C266" s="1">
        <v>2300</v>
      </c>
      <c r="D266" s="1" t="s">
        <v>4</v>
      </c>
    </row>
    <row r="267" spans="1:4">
      <c r="A267" s="1">
        <v>1915</v>
      </c>
      <c r="B267" s="1" t="s">
        <v>22</v>
      </c>
      <c r="C267" s="1">
        <v>3675</v>
      </c>
      <c r="D267" s="1" t="s">
        <v>4</v>
      </c>
    </row>
    <row r="268" spans="1:4">
      <c r="A268" s="1">
        <v>1915</v>
      </c>
      <c r="B268" s="1" t="s">
        <v>23</v>
      </c>
      <c r="C268" s="1">
        <v>3675</v>
      </c>
      <c r="D268" s="1" t="s">
        <v>4</v>
      </c>
    </row>
    <row r="269" spans="1:4">
      <c r="A269" s="1">
        <v>1915</v>
      </c>
      <c r="B269" s="1" t="s">
        <v>24</v>
      </c>
      <c r="C269" s="1">
        <v>3590</v>
      </c>
      <c r="D269" s="1" t="s">
        <v>4</v>
      </c>
    </row>
    <row r="270" spans="1:4">
      <c r="A270" s="1">
        <v>1915</v>
      </c>
      <c r="B270" s="1" t="s">
        <v>25</v>
      </c>
      <c r="C270" s="1">
        <v>3782</v>
      </c>
      <c r="D270" s="1" t="s">
        <v>4</v>
      </c>
    </row>
    <row r="271" spans="1:4">
      <c r="A271" s="1">
        <v>1915</v>
      </c>
      <c r="B271" s="1" t="s">
        <v>26</v>
      </c>
      <c r="C271" s="1">
        <v>3700</v>
      </c>
      <c r="D271" s="1" t="s">
        <v>4</v>
      </c>
    </row>
    <row r="272" spans="1:4">
      <c r="A272" s="1">
        <v>1915</v>
      </c>
      <c r="B272" s="1" t="s">
        <v>27</v>
      </c>
      <c r="C272" s="1">
        <v>3990</v>
      </c>
      <c r="D272" s="1" t="s">
        <v>4</v>
      </c>
    </row>
    <row r="273" spans="1:4">
      <c r="A273" s="1">
        <v>1915</v>
      </c>
      <c r="B273" s="1" t="s">
        <v>28</v>
      </c>
      <c r="C273" s="1">
        <v>4215</v>
      </c>
      <c r="D273" s="1" t="s">
        <v>4</v>
      </c>
    </row>
    <row r="274" spans="1:4">
      <c r="A274" s="1">
        <v>1915</v>
      </c>
      <c r="B274" s="1" t="s">
        <v>29</v>
      </c>
      <c r="C274" s="1">
        <v>4240</v>
      </c>
      <c r="D274" s="1" t="s">
        <v>4</v>
      </c>
    </row>
    <row r="275" spans="1:4">
      <c r="A275" s="1">
        <v>1915</v>
      </c>
      <c r="B275" s="1" t="s">
        <v>30</v>
      </c>
      <c r="C275" s="1">
        <v>3757</v>
      </c>
      <c r="D275" s="1" t="s">
        <v>4</v>
      </c>
    </row>
    <row r="276" spans="1:4">
      <c r="A276" s="1">
        <v>1915</v>
      </c>
      <c r="B276" s="1" t="s">
        <v>31</v>
      </c>
      <c r="C276" s="1">
        <v>4045</v>
      </c>
      <c r="D276" s="1" t="s">
        <v>4</v>
      </c>
    </row>
    <row r="277" spans="1:4">
      <c r="A277" s="1">
        <v>1915</v>
      </c>
      <c r="B277" s="1" t="s">
        <v>32</v>
      </c>
      <c r="C277" s="1">
        <v>3952</v>
      </c>
      <c r="D277" s="1" t="s">
        <v>4</v>
      </c>
    </row>
    <row r="278" spans="1:4">
      <c r="A278" s="1">
        <v>1915</v>
      </c>
      <c r="B278" s="1" t="s">
        <v>33</v>
      </c>
      <c r="C278" s="1">
        <v>3935</v>
      </c>
      <c r="D278" s="1" t="s">
        <v>4</v>
      </c>
    </row>
    <row r="279" spans="1:4">
      <c r="A279" s="1">
        <v>1916</v>
      </c>
      <c r="B279" s="1" t="s">
        <v>22</v>
      </c>
      <c r="C279" s="1">
        <v>3954</v>
      </c>
      <c r="D279" s="1" t="s">
        <v>4</v>
      </c>
    </row>
    <row r="280" spans="1:4">
      <c r="A280" s="1">
        <v>1916</v>
      </c>
      <c r="B280" s="1" t="s">
        <v>23</v>
      </c>
      <c r="C280" s="1">
        <v>4023</v>
      </c>
      <c r="D280" s="1" t="s">
        <v>4</v>
      </c>
    </row>
    <row r="281" spans="1:4">
      <c r="A281" s="1">
        <v>1916</v>
      </c>
      <c r="B281" s="1" t="s">
        <v>24</v>
      </c>
      <c r="C281" s="1">
        <v>3580</v>
      </c>
      <c r="D281" s="1" t="s">
        <v>4</v>
      </c>
    </row>
    <row r="282" spans="1:4">
      <c r="A282" s="1">
        <v>1916</v>
      </c>
      <c r="B282" s="1" t="s">
        <v>25</v>
      </c>
      <c r="C282" s="1">
        <v>3450</v>
      </c>
      <c r="D282" s="1" t="s">
        <v>4</v>
      </c>
    </row>
    <row r="283" spans="1:4">
      <c r="A283" s="1">
        <v>1916</v>
      </c>
      <c r="B283" s="1" t="s">
        <v>26</v>
      </c>
      <c r="C283" s="1">
        <v>3040</v>
      </c>
      <c r="D283" s="1" t="s">
        <v>4</v>
      </c>
    </row>
    <row r="284" spans="1:4">
      <c r="A284" s="1">
        <v>1916</v>
      </c>
      <c r="B284" s="1" t="s">
        <v>27</v>
      </c>
      <c r="C284" s="1">
        <v>2725</v>
      </c>
      <c r="D284" s="1" t="s">
        <v>4</v>
      </c>
    </row>
    <row r="285" spans="1:4">
      <c r="A285" s="1">
        <v>1916</v>
      </c>
      <c r="B285" s="1" t="s">
        <v>28</v>
      </c>
      <c r="C285" s="1">
        <v>2725</v>
      </c>
      <c r="D285" s="1" t="s">
        <v>4</v>
      </c>
    </row>
    <row r="286" spans="1:4">
      <c r="A286" s="1">
        <v>1916</v>
      </c>
      <c r="B286" s="1" t="s">
        <v>29</v>
      </c>
      <c r="C286" s="1">
        <v>2703</v>
      </c>
      <c r="D286" s="1" t="s">
        <v>4</v>
      </c>
    </row>
    <row r="287" spans="1:4">
      <c r="A287" s="1">
        <v>1916</v>
      </c>
      <c r="B287" s="1" t="s">
        <v>30</v>
      </c>
      <c r="C287" s="1">
        <v>2796</v>
      </c>
      <c r="D287" s="1" t="s">
        <v>4</v>
      </c>
    </row>
    <row r="288" spans="1:4">
      <c r="A288" s="1">
        <v>1916</v>
      </c>
      <c r="B288" s="1" t="s">
        <v>31</v>
      </c>
      <c r="C288" s="1">
        <v>3000</v>
      </c>
      <c r="D288" s="1" t="s">
        <v>4</v>
      </c>
    </row>
    <row r="289" spans="1:4">
      <c r="A289" s="1">
        <v>1916</v>
      </c>
      <c r="B289" s="1" t="s">
        <v>32</v>
      </c>
      <c r="C289" s="1">
        <v>3250</v>
      </c>
      <c r="D289" s="1" t="s">
        <v>4</v>
      </c>
    </row>
    <row r="290" spans="1:4">
      <c r="A290" s="1">
        <v>1916</v>
      </c>
      <c r="B290" s="1" t="s">
        <v>33</v>
      </c>
      <c r="C290" s="1">
        <v>3365</v>
      </c>
      <c r="D290" s="1" t="s">
        <v>4</v>
      </c>
    </row>
    <row r="291" spans="1:4">
      <c r="A291" s="1">
        <v>1917</v>
      </c>
      <c r="B291" s="1" t="s">
        <v>22</v>
      </c>
      <c r="C291" s="1">
        <v>3585</v>
      </c>
      <c r="D291" s="1" t="s">
        <v>4</v>
      </c>
    </row>
    <row r="292" spans="1:4">
      <c r="A292" s="1">
        <v>1917</v>
      </c>
      <c r="B292" s="1" t="s">
        <v>23</v>
      </c>
      <c r="C292" s="1">
        <v>3840</v>
      </c>
      <c r="D292" s="1" t="s">
        <v>4</v>
      </c>
    </row>
    <row r="293" spans="1:4">
      <c r="A293" s="1">
        <v>1917</v>
      </c>
      <c r="B293" s="1" t="s">
        <v>24</v>
      </c>
      <c r="C293" s="1">
        <v>3711</v>
      </c>
      <c r="D293" s="1" t="s">
        <v>4</v>
      </c>
    </row>
    <row r="294" spans="1:4">
      <c r="A294" s="1">
        <v>1917</v>
      </c>
      <c r="B294" s="1" t="s">
        <v>25</v>
      </c>
      <c r="C294" s="1">
        <v>3545</v>
      </c>
      <c r="D294" s="1" t="s">
        <v>4</v>
      </c>
    </row>
    <row r="295" spans="1:4">
      <c r="A295" s="1">
        <v>1917</v>
      </c>
      <c r="B295" s="1" t="s">
        <v>26</v>
      </c>
      <c r="C295" s="1">
        <v>3510</v>
      </c>
      <c r="D295" s="1" t="s">
        <v>4</v>
      </c>
    </row>
    <row r="296" spans="1:4">
      <c r="A296" s="1">
        <v>1917</v>
      </c>
      <c r="B296" s="1" t="s">
        <v>27</v>
      </c>
      <c r="C296" s="1">
        <v>3420</v>
      </c>
      <c r="D296" s="1" t="s">
        <v>4</v>
      </c>
    </row>
    <row r="297" spans="1:4">
      <c r="A297" s="1">
        <v>1917</v>
      </c>
      <c r="B297" s="1" t="s">
        <v>28</v>
      </c>
      <c r="C297" s="1">
        <v>3511</v>
      </c>
      <c r="D297" s="1" t="s">
        <v>4</v>
      </c>
    </row>
    <row r="298" spans="1:4">
      <c r="A298" s="1">
        <v>1917</v>
      </c>
      <c r="B298" s="1" t="s">
        <v>29</v>
      </c>
      <c r="C298" s="1">
        <v>3556</v>
      </c>
      <c r="D298" s="1" t="s">
        <v>4</v>
      </c>
    </row>
    <row r="299" spans="1:4">
      <c r="A299" s="1">
        <v>1917</v>
      </c>
      <c r="B299" s="1" t="s">
        <v>30</v>
      </c>
      <c r="C299" s="1">
        <v>3590</v>
      </c>
      <c r="D299" s="1" t="s">
        <v>4</v>
      </c>
    </row>
    <row r="300" spans="1:4">
      <c r="A300" s="1">
        <v>1917</v>
      </c>
      <c r="B300" s="1" t="s">
        <v>31</v>
      </c>
      <c r="C300" s="1">
        <v>3558</v>
      </c>
      <c r="D300" s="1" t="s">
        <v>4</v>
      </c>
    </row>
    <row r="301" spans="1:4">
      <c r="A301" s="1">
        <v>1917</v>
      </c>
      <c r="B301" s="1" t="s">
        <v>32</v>
      </c>
      <c r="C301" s="1">
        <v>3487</v>
      </c>
      <c r="D301" s="1" t="s">
        <v>4</v>
      </c>
    </row>
    <row r="302" spans="1:4">
      <c r="A302" s="1">
        <v>1917</v>
      </c>
      <c r="B302" s="1" t="s">
        <v>33</v>
      </c>
      <c r="C302" s="1">
        <v>3431</v>
      </c>
      <c r="D302" s="1" t="s">
        <v>4</v>
      </c>
    </row>
    <row r="303" spans="1:4">
      <c r="A303" s="1">
        <v>1918</v>
      </c>
      <c r="B303" s="1" t="s">
        <v>22</v>
      </c>
      <c r="C303" s="1">
        <v>3500</v>
      </c>
      <c r="D303" s="1" t="s">
        <v>4</v>
      </c>
    </row>
    <row r="304" spans="1:4">
      <c r="A304" s="1">
        <v>1918</v>
      </c>
      <c r="B304" s="1" t="s">
        <v>23</v>
      </c>
      <c r="C304" s="1">
        <v>3500</v>
      </c>
      <c r="D304" s="1" t="s">
        <v>4</v>
      </c>
    </row>
    <row r="305" spans="1:4">
      <c r="A305" s="1">
        <v>1918</v>
      </c>
      <c r="B305" s="1" t="s">
        <v>24</v>
      </c>
      <c r="C305" s="1">
        <v>3500</v>
      </c>
      <c r="D305" s="1" t="s">
        <v>4</v>
      </c>
    </row>
    <row r="306" spans="1:4">
      <c r="A306" s="1">
        <v>1918</v>
      </c>
      <c r="B306" s="1" t="s">
        <v>25</v>
      </c>
      <c r="C306" s="1">
        <v>3500</v>
      </c>
      <c r="D306" s="1" t="s">
        <v>4</v>
      </c>
    </row>
    <row r="307" spans="1:4">
      <c r="A307" s="1">
        <v>1918</v>
      </c>
      <c r="B307" s="1" t="s">
        <v>26</v>
      </c>
      <c r="C307" s="1">
        <v>3408</v>
      </c>
      <c r="D307" s="1" t="s">
        <v>34</v>
      </c>
    </row>
    <row r="308" spans="1:4">
      <c r="A308" s="1">
        <v>1918</v>
      </c>
      <c r="B308" s="1" t="s">
        <v>27</v>
      </c>
      <c r="C308" s="1">
        <v>2600</v>
      </c>
      <c r="D308" s="1" t="s">
        <v>4</v>
      </c>
    </row>
    <row r="309" spans="1:4">
      <c r="A309" s="1">
        <v>1918</v>
      </c>
      <c r="B309" s="1" t="s">
        <v>28</v>
      </c>
      <c r="C309" s="1">
        <v>2720</v>
      </c>
      <c r="D309" s="1" t="s">
        <v>4</v>
      </c>
    </row>
    <row r="310" spans="1:4">
      <c r="A310" s="1">
        <v>1918</v>
      </c>
      <c r="B310" s="1" t="s">
        <v>29</v>
      </c>
      <c r="C310" s="1">
        <v>2700</v>
      </c>
      <c r="D310" s="1" t="s">
        <v>4</v>
      </c>
    </row>
    <row r="311" spans="1:4">
      <c r="A311" s="1">
        <v>1918</v>
      </c>
      <c r="B311" s="1" t="s">
        <v>30</v>
      </c>
      <c r="C311" s="1">
        <v>2600</v>
      </c>
      <c r="D311" s="1" t="s">
        <v>4</v>
      </c>
    </row>
    <row r="312" spans="1:4">
      <c r="A312" s="1">
        <v>1918</v>
      </c>
      <c r="B312" s="1" t="s">
        <v>31</v>
      </c>
      <c r="C312" s="1">
        <v>2520</v>
      </c>
      <c r="D312" s="1" t="s">
        <v>4</v>
      </c>
    </row>
    <row r="313" spans="1:4">
      <c r="A313" s="1">
        <v>1918</v>
      </c>
      <c r="B313" s="1" t="s">
        <v>32</v>
      </c>
      <c r="C313" s="1">
        <v>2500</v>
      </c>
      <c r="D313" s="1" t="s">
        <v>4</v>
      </c>
    </row>
    <row r="314" spans="1:4">
      <c r="A314" s="1">
        <v>1918</v>
      </c>
      <c r="B314" s="1" t="s">
        <v>33</v>
      </c>
      <c r="C314" s="1">
        <v>2272</v>
      </c>
      <c r="D314" s="1" t="s">
        <v>34</v>
      </c>
    </row>
    <row r="315" spans="1:4">
      <c r="A315" s="1">
        <v>1919</v>
      </c>
      <c r="B315" s="1" t="s">
        <v>22</v>
      </c>
      <c r="C315" s="1">
        <v>1616</v>
      </c>
      <c r="D315" s="1" t="s">
        <v>34</v>
      </c>
    </row>
    <row r="316" spans="1:4">
      <c r="A316" s="1">
        <v>1919</v>
      </c>
      <c r="B316" s="1" t="s">
        <v>23</v>
      </c>
      <c r="C316" s="1">
        <v>1860</v>
      </c>
      <c r="D316" s="1" t="s">
        <v>4</v>
      </c>
    </row>
    <row r="317" spans="1:4">
      <c r="A317" s="1">
        <v>1919</v>
      </c>
      <c r="B317" s="1" t="s">
        <v>24</v>
      </c>
      <c r="C317" s="1">
        <v>1870</v>
      </c>
      <c r="D317" s="1" t="s">
        <v>4</v>
      </c>
    </row>
    <row r="318" spans="1:4">
      <c r="A318" s="1">
        <v>1919</v>
      </c>
      <c r="B318" s="1" t="s">
        <v>25</v>
      </c>
      <c r="C318" s="1">
        <v>1760</v>
      </c>
      <c r="D318" s="1" t="s">
        <v>4</v>
      </c>
    </row>
    <row r="319" spans="1:4">
      <c r="A319" s="1">
        <v>1919</v>
      </c>
      <c r="B319" s="1" t="s">
        <v>26</v>
      </c>
      <c r="C319" s="1">
        <v>1760</v>
      </c>
      <c r="D319" s="1" t="s">
        <v>4</v>
      </c>
    </row>
    <row r="320" spans="1:4">
      <c r="A320" s="1">
        <v>1919</v>
      </c>
      <c r="B320" s="1" t="s">
        <v>27</v>
      </c>
      <c r="C320" s="1">
        <v>1930</v>
      </c>
      <c r="D320" s="1" t="s">
        <v>4</v>
      </c>
    </row>
    <row r="321" spans="1:4">
      <c r="A321" s="1">
        <v>1919</v>
      </c>
      <c r="B321" s="1" t="s">
        <v>28</v>
      </c>
      <c r="C321" s="1">
        <v>1900</v>
      </c>
      <c r="D321" s="1" t="s">
        <v>4</v>
      </c>
    </row>
    <row r="322" spans="1:4">
      <c r="A322" s="1">
        <v>1919</v>
      </c>
      <c r="B322" s="1" t="s">
        <v>29</v>
      </c>
      <c r="C322" s="1">
        <v>1900</v>
      </c>
      <c r="D322" s="1" t="s">
        <v>4</v>
      </c>
    </row>
    <row r="323" spans="1:4">
      <c r="A323" s="1">
        <v>1919</v>
      </c>
      <c r="B323" s="1" t="s">
        <v>30</v>
      </c>
      <c r="C323" s="1">
        <v>1950</v>
      </c>
      <c r="D323" s="1" t="s">
        <v>4</v>
      </c>
    </row>
    <row r="324" spans="1:4">
      <c r="A324" s="1">
        <v>1919</v>
      </c>
      <c r="B324" s="1" t="s">
        <v>31</v>
      </c>
      <c r="C324" s="1">
        <v>1880</v>
      </c>
      <c r="D324" s="1" t="s">
        <v>4</v>
      </c>
    </row>
    <row r="325" spans="1:4">
      <c r="A325" s="1">
        <v>1919</v>
      </c>
      <c r="B325" s="1" t="s">
        <v>32</v>
      </c>
      <c r="C325" s="1">
        <v>1960</v>
      </c>
      <c r="D325" s="1" t="s">
        <v>4</v>
      </c>
    </row>
    <row r="326" spans="1:4">
      <c r="A326" s="1">
        <v>1919</v>
      </c>
      <c r="B326" s="1" t="s">
        <v>33</v>
      </c>
      <c r="C326" s="1">
        <v>1930</v>
      </c>
      <c r="D326" s="1" t="s">
        <v>4</v>
      </c>
    </row>
    <row r="327" spans="1:4">
      <c r="A327" s="1">
        <v>1920</v>
      </c>
      <c r="B327" s="1" t="s">
        <v>22</v>
      </c>
      <c r="C327" s="1">
        <v>2100</v>
      </c>
      <c r="D327" s="1" t="s">
        <v>4</v>
      </c>
    </row>
    <row r="328" spans="1:4">
      <c r="A328" s="1">
        <v>1920</v>
      </c>
      <c r="B328" s="1" t="s">
        <v>23</v>
      </c>
      <c r="C328" s="1">
        <v>2636</v>
      </c>
      <c r="D328" s="1" t="s">
        <v>4</v>
      </c>
    </row>
    <row r="329" spans="1:4">
      <c r="A329" s="1">
        <v>1920</v>
      </c>
      <c r="B329" s="1" t="s">
        <v>24</v>
      </c>
      <c r="C329" s="1">
        <v>2659</v>
      </c>
      <c r="D329" s="1" t="s">
        <v>4</v>
      </c>
    </row>
    <row r="330" spans="1:4">
      <c r="A330" s="1">
        <v>1920</v>
      </c>
      <c r="B330" s="1" t="s">
        <v>25</v>
      </c>
      <c r="C330" s="1">
        <v>2636</v>
      </c>
      <c r="D330" s="1" t="s">
        <v>4</v>
      </c>
    </row>
    <row r="331" spans="1:4">
      <c r="A331" s="1">
        <v>1920</v>
      </c>
      <c r="B331" s="1" t="s">
        <v>26</v>
      </c>
      <c r="C331" s="1">
        <v>2732</v>
      </c>
      <c r="D331" s="1" t="s">
        <v>4</v>
      </c>
    </row>
    <row r="332" spans="1:4">
      <c r="A332" s="1">
        <v>1920</v>
      </c>
      <c r="B332" s="1" t="s">
        <v>27</v>
      </c>
      <c r="C332" s="1">
        <v>2800</v>
      </c>
      <c r="D332" s="1" t="s">
        <v>4</v>
      </c>
    </row>
    <row r="333" spans="1:4">
      <c r="A333" s="1">
        <v>1920</v>
      </c>
      <c r="B333" s="1" t="s">
        <v>28</v>
      </c>
      <c r="C333" s="1">
        <v>2863</v>
      </c>
      <c r="D333" s="1" t="s">
        <v>4</v>
      </c>
    </row>
    <row r="334" spans="1:4">
      <c r="A334" s="1">
        <v>1920</v>
      </c>
      <c r="B334" s="1" t="s">
        <v>29</v>
      </c>
      <c r="C334" s="1">
        <v>2636</v>
      </c>
      <c r="D334" s="1" t="s">
        <v>4</v>
      </c>
    </row>
    <row r="335" spans="1:4">
      <c r="A335" s="1">
        <v>1920</v>
      </c>
      <c r="B335" s="1" t="s">
        <v>30</v>
      </c>
      <c r="C335" s="1">
        <v>2661</v>
      </c>
      <c r="D335" s="1" t="s">
        <v>4</v>
      </c>
    </row>
    <row r="336" spans="1:4">
      <c r="A336" s="1">
        <v>1920</v>
      </c>
      <c r="B336" s="1" t="s">
        <v>31</v>
      </c>
      <c r="C336" s="1">
        <v>2682</v>
      </c>
      <c r="D336" s="1" t="s">
        <v>4</v>
      </c>
    </row>
    <row r="337" spans="1:4">
      <c r="A337" s="1">
        <v>1920</v>
      </c>
      <c r="B337" s="1" t="s">
        <v>32</v>
      </c>
      <c r="C337" s="1">
        <v>2732</v>
      </c>
      <c r="D337" s="1" t="s">
        <v>4</v>
      </c>
    </row>
    <row r="338" spans="1:4">
      <c r="A338" s="1">
        <v>1920</v>
      </c>
      <c r="B338" s="1" t="s">
        <v>33</v>
      </c>
      <c r="C338" s="1">
        <v>2863</v>
      </c>
      <c r="D338" s="1" t="s">
        <v>4</v>
      </c>
    </row>
    <row r="339" spans="1:4">
      <c r="A339" s="1">
        <v>1921</v>
      </c>
      <c r="B339" s="1" t="s">
        <v>22</v>
      </c>
      <c r="C339" s="1">
        <v>3181</v>
      </c>
      <c r="D339" s="1" t="s">
        <v>4</v>
      </c>
    </row>
    <row r="340" spans="1:4">
      <c r="A340" s="1">
        <v>1921</v>
      </c>
      <c r="B340" s="1" t="s">
        <v>23</v>
      </c>
      <c r="C340" s="1">
        <v>3410</v>
      </c>
      <c r="D340" s="1" t="s">
        <v>4</v>
      </c>
    </row>
    <row r="341" spans="1:4">
      <c r="A341" s="1">
        <v>1921</v>
      </c>
      <c r="B341" s="1" t="s">
        <v>24</v>
      </c>
      <c r="C341" s="1">
        <v>3220</v>
      </c>
      <c r="D341" s="1" t="s">
        <v>4</v>
      </c>
    </row>
    <row r="342" spans="1:4">
      <c r="A342" s="1">
        <v>1921</v>
      </c>
      <c r="B342" s="1" t="s">
        <v>25</v>
      </c>
      <c r="C342" s="1">
        <v>3270</v>
      </c>
      <c r="D342" s="1" t="s">
        <v>4</v>
      </c>
    </row>
    <row r="343" spans="1:4">
      <c r="A343" s="1">
        <v>1921</v>
      </c>
      <c r="B343" s="1" t="s">
        <v>26</v>
      </c>
      <c r="C343" s="1">
        <v>3410</v>
      </c>
      <c r="D343" s="1" t="s">
        <v>4</v>
      </c>
    </row>
    <row r="344" spans="1:4">
      <c r="A344" s="1">
        <v>1921</v>
      </c>
      <c r="B344" s="1" t="s">
        <v>27</v>
      </c>
      <c r="C344" s="1">
        <v>3454</v>
      </c>
      <c r="D344" s="1" t="s">
        <v>4</v>
      </c>
    </row>
    <row r="345" spans="1:4">
      <c r="A345" s="1">
        <v>1921</v>
      </c>
      <c r="B345" s="1" t="s">
        <v>28</v>
      </c>
      <c r="C345" s="1">
        <v>3454</v>
      </c>
      <c r="D345" s="1" t="s">
        <v>4</v>
      </c>
    </row>
    <row r="346" spans="1:4">
      <c r="A346" s="1">
        <v>1921</v>
      </c>
      <c r="B346" s="1" t="s">
        <v>29</v>
      </c>
      <c r="C346" s="1">
        <v>3477</v>
      </c>
      <c r="D346" s="1" t="s">
        <v>4</v>
      </c>
    </row>
    <row r="347" spans="1:4">
      <c r="A347" s="1">
        <v>1921</v>
      </c>
      <c r="B347" s="1" t="s">
        <v>30</v>
      </c>
      <c r="C347" s="1">
        <v>3638</v>
      </c>
      <c r="D347" s="1" t="s">
        <v>4</v>
      </c>
    </row>
    <row r="348" spans="1:4">
      <c r="A348" s="1">
        <v>1921</v>
      </c>
      <c r="B348" s="1" t="s">
        <v>31</v>
      </c>
      <c r="C348" s="1">
        <v>3963</v>
      </c>
      <c r="D348" s="1" t="s">
        <v>4</v>
      </c>
    </row>
    <row r="349" spans="1:4">
      <c r="A349" s="1">
        <v>1921</v>
      </c>
      <c r="B349" s="1" t="s">
        <v>32</v>
      </c>
      <c r="C349" s="1">
        <v>3818</v>
      </c>
      <c r="D349" s="1" t="s">
        <v>4</v>
      </c>
    </row>
    <row r="350" spans="1:4">
      <c r="A350" s="1">
        <v>1921</v>
      </c>
      <c r="B350" s="1" t="s">
        <v>33</v>
      </c>
      <c r="C350" s="1">
        <v>4147</v>
      </c>
      <c r="D350" s="1" t="s">
        <v>4</v>
      </c>
    </row>
    <row r="351" spans="1:4">
      <c r="A351" s="1">
        <v>1922</v>
      </c>
      <c r="B351" s="1" t="s">
        <v>22</v>
      </c>
      <c r="C351" s="1">
        <v>4034</v>
      </c>
      <c r="D351" s="1" t="s">
        <v>4</v>
      </c>
    </row>
    <row r="352" spans="1:4">
      <c r="A352" s="1">
        <v>1922</v>
      </c>
      <c r="B352" s="1" t="s">
        <v>23</v>
      </c>
      <c r="C352" s="1">
        <v>4090</v>
      </c>
      <c r="D352" s="1" t="s">
        <v>4</v>
      </c>
    </row>
    <row r="353" spans="1:4">
      <c r="A353" s="1">
        <v>1922</v>
      </c>
      <c r="B353" s="1" t="s">
        <v>24</v>
      </c>
      <c r="C353" s="1">
        <v>4090</v>
      </c>
      <c r="D353" s="1" t="s">
        <v>4</v>
      </c>
    </row>
    <row r="354" spans="1:4">
      <c r="A354" s="1">
        <v>1922</v>
      </c>
      <c r="B354" s="1" t="s">
        <v>25</v>
      </c>
      <c r="C354" s="1">
        <v>4090</v>
      </c>
      <c r="D354" s="1" t="s">
        <v>4</v>
      </c>
    </row>
    <row r="355" spans="1:4">
      <c r="A355" s="1">
        <v>1922</v>
      </c>
      <c r="B355" s="1" t="s">
        <v>26</v>
      </c>
      <c r="C355" s="1">
        <v>4068</v>
      </c>
      <c r="D355" s="1" t="s">
        <v>4</v>
      </c>
    </row>
    <row r="356" spans="1:4">
      <c r="A356" s="1">
        <v>1922</v>
      </c>
      <c r="B356" s="1" t="s">
        <v>27</v>
      </c>
      <c r="C356" s="1">
        <v>4272</v>
      </c>
      <c r="D356" s="1" t="s">
        <v>4</v>
      </c>
    </row>
    <row r="357" spans="1:4">
      <c r="A357" s="1">
        <v>1922</v>
      </c>
      <c r="B357" s="1" t="s">
        <v>28</v>
      </c>
      <c r="C357" s="1">
        <v>4272</v>
      </c>
      <c r="D357" s="1" t="s">
        <v>4</v>
      </c>
    </row>
    <row r="358" spans="1:4">
      <c r="A358" s="1">
        <v>1922</v>
      </c>
      <c r="B358" s="1" t="s">
        <v>29</v>
      </c>
      <c r="C358" s="1">
        <v>4363</v>
      </c>
      <c r="D358" s="1" t="s">
        <v>4</v>
      </c>
    </row>
    <row r="359" spans="1:4">
      <c r="A359" s="1">
        <v>1922</v>
      </c>
      <c r="B359" s="1" t="s">
        <v>30</v>
      </c>
      <c r="C359" s="1">
        <v>4341</v>
      </c>
      <c r="D359" s="1" t="s">
        <v>4</v>
      </c>
    </row>
    <row r="360" spans="1:4">
      <c r="A360" s="1">
        <v>1922</v>
      </c>
      <c r="B360" s="1" t="s">
        <v>31</v>
      </c>
      <c r="C360" s="1">
        <v>4310</v>
      </c>
      <c r="D360" s="1" t="s">
        <v>4</v>
      </c>
    </row>
    <row r="361" spans="1:4">
      <c r="A361" s="1">
        <v>1922</v>
      </c>
      <c r="B361" s="1" t="s">
        <v>32</v>
      </c>
      <c r="C361" s="1">
        <v>4310</v>
      </c>
      <c r="D361" s="1" t="s">
        <v>4</v>
      </c>
    </row>
    <row r="362" spans="1:4">
      <c r="A362" s="1">
        <v>1922</v>
      </c>
      <c r="B362" s="1" t="s">
        <v>33</v>
      </c>
      <c r="C362" s="1">
        <v>4310</v>
      </c>
      <c r="D362" s="1" t="s">
        <v>4</v>
      </c>
    </row>
    <row r="363" spans="1:4">
      <c r="A363" s="1">
        <v>1923</v>
      </c>
      <c r="B363" s="1" t="s">
        <v>15</v>
      </c>
      <c r="C363" s="1">
        <v>4261</v>
      </c>
      <c r="D363" s="1" t="s">
        <v>36</v>
      </c>
    </row>
    <row r="364" spans="1:4">
      <c r="A364" s="1">
        <v>1924</v>
      </c>
      <c r="B364" s="1" t="s">
        <v>15</v>
      </c>
      <c r="C364" s="1">
        <v>4261</v>
      </c>
      <c r="D364" s="1" t="s">
        <v>36</v>
      </c>
    </row>
    <row r="365" spans="1:4">
      <c r="A365" s="1">
        <v>1925</v>
      </c>
      <c r="B365" s="1" t="s">
        <v>15</v>
      </c>
      <c r="C365" s="1">
        <v>4261</v>
      </c>
      <c r="D365" s="1" t="s">
        <v>36</v>
      </c>
    </row>
    <row r="366" spans="1:4">
      <c r="A366" s="1">
        <v>1926</v>
      </c>
      <c r="B366" s="1" t="s">
        <v>15</v>
      </c>
      <c r="C366" s="1">
        <v>4261</v>
      </c>
      <c r="D366" s="1" t="s">
        <v>36</v>
      </c>
    </row>
    <row r="367" spans="1:4">
      <c r="A367" s="1">
        <v>1927</v>
      </c>
      <c r="B367" s="1" t="s">
        <v>15</v>
      </c>
      <c r="C367" s="1">
        <v>4261</v>
      </c>
      <c r="D367" s="1" t="s">
        <v>36</v>
      </c>
    </row>
    <row r="368" spans="1:4">
      <c r="A368" s="1">
        <v>1928</v>
      </c>
      <c r="B368" s="1" t="s">
        <v>15</v>
      </c>
      <c r="C368" s="1">
        <v>4261</v>
      </c>
      <c r="D368" s="1" t="s">
        <v>4</v>
      </c>
    </row>
    <row r="369" spans="1:4">
      <c r="A369" s="1">
        <v>1929</v>
      </c>
      <c r="B369" s="1" t="s">
        <v>15</v>
      </c>
      <c r="C369" s="1">
        <v>4261</v>
      </c>
      <c r="D369" s="1" t="s">
        <v>36</v>
      </c>
    </row>
    <row r="370" spans="1:4">
      <c r="A370" s="1">
        <v>1930</v>
      </c>
      <c r="B370" s="1" t="s">
        <v>15</v>
      </c>
      <c r="C370" s="1">
        <v>4261</v>
      </c>
      <c r="D370" s="1" t="s">
        <v>36</v>
      </c>
    </row>
    <row r="371" spans="1:4">
      <c r="A371" s="1">
        <v>1931</v>
      </c>
      <c r="B371" s="1" t="s">
        <v>15</v>
      </c>
      <c r="C371" s="1">
        <v>4261</v>
      </c>
      <c r="D371" s="1" t="s">
        <v>36</v>
      </c>
    </row>
    <row r="372" spans="1:4">
      <c r="A372" s="1">
        <v>1932</v>
      </c>
      <c r="B372" s="1" t="s">
        <v>15</v>
      </c>
      <c r="C372" s="1">
        <v>4432</v>
      </c>
      <c r="D372" s="1" t="s">
        <v>36</v>
      </c>
    </row>
    <row r="373" spans="1:4">
      <c r="A373" s="1">
        <v>1933</v>
      </c>
      <c r="B373" s="1" t="s">
        <v>15</v>
      </c>
      <c r="C373" s="1">
        <v>6363</v>
      </c>
      <c r="D373" s="1" t="s">
        <v>36</v>
      </c>
    </row>
    <row r="374" spans="1:4">
      <c r="A374" s="1">
        <v>1936</v>
      </c>
      <c r="B374" s="1" t="s">
        <v>23</v>
      </c>
      <c r="C374" s="1">
        <v>6000</v>
      </c>
      <c r="D374" s="1" t="s">
        <v>34</v>
      </c>
    </row>
    <row r="375" spans="1:4">
      <c r="A375" s="1">
        <v>1937</v>
      </c>
      <c r="B375" s="1" t="s">
        <v>15</v>
      </c>
      <c r="C375" s="1">
        <v>9000</v>
      </c>
      <c r="D375" s="1" t="s">
        <v>34</v>
      </c>
    </row>
    <row r="376" spans="1:4">
      <c r="A376" s="1">
        <v>1938</v>
      </c>
      <c r="B376" s="1" t="s">
        <v>15</v>
      </c>
      <c r="C376" s="1">
        <v>8000</v>
      </c>
      <c r="D376" s="1" t="s">
        <v>34</v>
      </c>
    </row>
    <row r="377" spans="1:4">
      <c r="A377" s="1">
        <v>1940</v>
      </c>
      <c r="B377" s="1" t="s">
        <v>31</v>
      </c>
      <c r="C377" s="1">
        <v>8600</v>
      </c>
      <c r="D377" s="1" t="s">
        <v>34</v>
      </c>
    </row>
  </sheetData>
  <mergeCells count="1">
    <mergeCell ref="N42:P42"/>
  </mergeCells>
  <hyperlinks>
    <hyperlink ref="R58" r:id="rId1" xr:uid="{00000000-0004-0000-0900-000000000000}"/>
    <hyperlink ref="R59" r:id="rId2" xr:uid="{00000000-0004-0000-0900-000001000000}"/>
  </hyperlinks>
  <pageMargins left="0.511811024" right="0.511811024" top="0.78740157499999996" bottom="0.78740157499999996" header="0.31496062000000002" footer="0.3149606200000000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Macroeconomics</vt:lpstr>
      <vt:lpstr>CLADHE_Graphs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Lemos F Prado</cp:lastModifiedBy>
  <dcterms:created xsi:type="dcterms:W3CDTF">2026-01-16T18:36:41Z</dcterms:created>
  <dcterms:modified xsi:type="dcterms:W3CDTF">2026-01-16T18:36:41Z</dcterms:modified>
</cp:coreProperties>
</file>